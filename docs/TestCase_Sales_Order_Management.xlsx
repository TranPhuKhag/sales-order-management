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est Case" sheetId="1" state="visible" r:id="rId3"/>
    <sheet name="Ghi chu" sheetId="2" state="visible" r:id="rId4"/>
  </sheets>
  <definedNames>
    <definedName function="false" hidden="false" localSheetId="0" name="_xlnm.Print_Titles" vbProcedure="false">'Test Case'!$4:$4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<sst xmlns="http://schemas.openxmlformats.org/spreadsheetml/2006/main" count="349" uniqueCount="334">
  <si>
    <t xml:space="preserve">TEST CASE - SALES ORDER MANAGEMENT (SAP ABAP RAP - Fiori Elements OData V4)</t>
  </si>
  <si>
    <t xml:space="preserve">Service Binding: ZUI_TEAM2_SO_HD_O4 (Service: ZSD_TEAM2_SO_HD) - Business Object: ZIR_TEAM2_SO_HD (Header → Item → Schedule Line). Cột Result: chọn OK / NG sau khi thực hiện test.</t>
  </si>
  <si>
    <t xml:space="preserve">No.</t>
  </si>
  <si>
    <t xml:space="preserve">Test Case</t>
  </si>
  <si>
    <t xml:space="preserve">Expected Result</t>
  </si>
  <si>
    <t xml:space="preserve">Result</t>
  </si>
  <si>
    <t xml:space="preserve">Kiểm tra màn hình danh sách (List Report &amp; Filter Bar)</t>
  </si>
  <si>
    <t xml:space="preserve">1.1</t>
  </si>
  <si>
    <t xml:space="preserve">Kiểm tra hiển thị các cột dữ liệu trên List Report</t>
  </si>
  <si>
    <t xml:space="preserve">Hiển thị chính xác các cột: Sales Order, Sales Order Type, Sales Organization, Distribution Channel, Division, Sales Order Date, Pricing Date, Requested Delivery Date, Net Amount, Lifecycle Status, Overall Status, Created By</t>
  </si>
  <si>
    <t xml:space="preserve">1.2</t>
  </si>
  <si>
    <t xml:space="preserve">Kiểm tra hiển thị các trường lọc trên Filter Bar</t>
  </si>
  <si>
    <t xml:space="preserve">Filter Bar hiển thị đầy đủ các trường: Sales Order, Sales Order Type, Sales Organization, Distribution Channel, Division, Sales Order Date, Lifecycle Status, Overall Status</t>
  </si>
  <si>
    <t xml:space="preserve">1.3</t>
  </si>
  <si>
    <t xml:space="preserve">Kiểm tra tính năng lọc theo Sales Order và Sales Order Type</t>
  </si>
  <si>
    <t xml:space="preserve">Nhập mã Sales Order hoặc Sales Order Type vào Filter Bar và bấm "Go", danh sách lọc ra đúng chính xác các đơn hàng tương ứng</t>
  </si>
  <si>
    <t xml:space="preserve">1.4</t>
  </si>
  <si>
    <t xml:space="preserve">Kiểm tra tính năng lọc theo Sales Organization, Distribution Channel, Division (chọn từ Value Help)</t>
  </si>
  <si>
    <t xml:space="preserve">Value Help chỉ hiển thị các giá trị đang Active kèm tên mô tả. Sau khi chọn và bấm "Go", danh sách lọc ra đúng chính xác các đơn hàng tương ứng</t>
  </si>
  <si>
    <t xml:space="preserve">1.5</t>
  </si>
  <si>
    <t xml:space="preserve">Kiểm tra tính năng lọc theo khoảng ngày Sales Order Date</t>
  </si>
  <si>
    <t xml:space="preserve">Chọn khoảng ngày (From - To) trên Sales Order Date, danh sách chỉ hiển thị các đơn hàng có Sales Order Date nằm trong khoảng đã chọn</t>
  </si>
  <si>
    <t xml:space="preserve">1.6</t>
  </si>
  <si>
    <t xml:space="preserve">Kiểm tra tính năng lọc theo Lifecycle Status và Overall Status</t>
  </si>
  <si>
    <t xml:space="preserve">Nhập/chọn giá trị Lifecycle Status (OPEN, IN_PROCESS, COMPLETED) hoặc Overall Status (OPEN, PARTIAL, OVERDUE, COMPLETED), danh sách lọc ra đúng chính xác các đơn hàng tương ứng</t>
  </si>
  <si>
    <t xml:space="preserve">1.7</t>
  </si>
  <si>
    <t xml:space="preserve">Kiểm tra hiển thị số lượng bản ghi tổng (Record Count)</t>
  </si>
  <si>
    <t xml:space="preserve">Tiêu đề bảng hiển thị tổng số lượng bản ghi hiện có (đếm chính xác số records khi load trang hoặc sau khi lọc)</t>
  </si>
  <si>
    <t xml:space="preserve">1.8</t>
  </si>
  <si>
    <t xml:space="preserve">Kiểm tra hiển thị Icon / màu cho trường Lifecycle Status</t>
  </si>
  <si>
    <t xml:space="preserve">Hiển thị đúng theo trạng thái thực tế: OPEN → Neutral (không màu), IN_PROCESS → Warning (màu vàng/cam), COMPLETED → Success (màu xanh lá)</t>
  </si>
  <si>
    <t xml:space="preserve">1.9</t>
  </si>
  <si>
    <t xml:space="preserve">Kiểm tra hiển thị Icon / màu cho trường Overall Status</t>
  </si>
  <si>
    <t xml:space="preserve">Hiển thị đúng theo trạng thái thực tế: OPEN → Neutral (không màu), PARTIAL → Warning (màu vàng/cam), OVERDUE → Error (màu đỏ), COMPLETED → Success (màu xanh lá)</t>
  </si>
  <si>
    <t xml:space="preserve">1.10</t>
  </si>
  <si>
    <t xml:space="preserve">Kiểm tra hiển thị trường Net Amount trên List Report</t>
  </si>
  <si>
    <t xml:space="preserve">Net Amount hiển thị đúng định dạng số tiền kèm đơn vị tiền tệ (Currency) của đơn hàng</t>
  </si>
  <si>
    <t xml:space="preserve">Kiểm tra màn hình chi tiết &amp; phân nhóm thông tin (Object Page &amp; Field Groups)</t>
  </si>
  <si>
    <t xml:space="preserve">2.1</t>
  </si>
  <si>
    <t xml:space="preserve">Click vào dòng Sales Order để mở Object Page</t>
  </si>
  <si>
    <t xml:space="preserve">Chuyển sang màn hình chi tiết, tiêu đề hiển thị Sales Order ID, hiển thị đầy đủ các nhóm thông tin: General Information, Sold-to Customer Information, Ship-to Customer Information, Sales Order Items</t>
  </si>
  <si>
    <t xml:space="preserve">2.2</t>
  </si>
  <si>
    <t xml:space="preserve">Kiểm tra phân nhóm General Information</t>
  </si>
  <si>
    <t xml:space="preserve">Các trường Sales Order, Sales Order Type, Sales Organization, Distribution Channel, Division, Sales Order Date, Pricing Date, Requested Delivery Date, Net Amount, Lifecycle Status, Overall Status, Rejection Reason, Created By, Created At, Local Last Changed By, Local Last Changed At, Last Changed At nằm đúng vị trí trong group General Information</t>
  </si>
  <si>
    <t xml:space="preserve">2.3</t>
  </si>
  <si>
    <t xml:space="preserve">Kiểm tra phân nhóm Sold-to Customer Information</t>
  </si>
  <si>
    <t xml:space="preserve">Các trường Customer ID, Customer Name, Street, City, Country, Phone, Email nằm đúng vị trí trong group và hiển thị đúng thông tin của khách hàng Sold-to Party</t>
  </si>
  <si>
    <t xml:space="preserve">2.4</t>
  </si>
  <si>
    <t xml:space="preserve">Kiểm tra phân nhóm Ship-to Customer Information</t>
  </si>
  <si>
    <t xml:space="preserve">Các trường Customer ID, Customer Name, Street, City, Country, Phone, Email nằm đúng vị trí trong group và hiển thị đúng thông tin của khách hàng Ship-to Party</t>
  </si>
  <si>
    <t xml:space="preserve">2.5</t>
  </si>
  <si>
    <t xml:space="preserve">Kiểm tra hiển thị text mô tả cho các trường mã</t>
  </si>
  <si>
    <t xml:space="preserve">Sales Organization, Distribution Channel, Division hiển thị kèm tên mô tả; Customer ID của Sold-to / Ship-to hiển thị theo dạng "ID (Customer Name)"</t>
  </si>
  <si>
    <t xml:space="preserve">2.6</t>
  </si>
  <si>
    <t xml:space="preserve">Kiểm tra hiển thị Icon cho Lifecycle Status và Overall Status trên Object Page</t>
  </si>
  <si>
    <t xml:space="preserve">Hiển thị chính xác Icon / màu theo trạng thái thực tế của 2 trường Lifecycle Status và Overall Status (giống List Report)</t>
  </si>
  <si>
    <t xml:space="preserve">2.7</t>
  </si>
  <si>
    <t xml:space="preserve">Kiểm tra hiển thị bảng Sales Order Items trong Object Page</t>
  </si>
  <si>
    <t xml:space="preserve">Hiển thị chính xác bảng Sales Order Items với các cột: Item, Product, Product Description, Plant, Requested Quantity, Confirmed Quantity, Sales Unit, Net Price, Net Amount, Currency, Delivery Status; tiêu đề bảng hiển thị đúng tổng số Item (Ví dụ: Sales Order Items (3))</t>
  </si>
  <si>
    <t xml:space="preserve">2.8</t>
  </si>
  <si>
    <t xml:space="preserve">Kiểm tra hiển thị Icon cho trường Delivery Status của Item</t>
  </si>
  <si>
    <t xml:space="preserve">Hiển thị đúng theo trạng thái thực tế: NOT DELIVERED → Error (màu đỏ), PARTIALLY DELIVERED → Warning (màu vàng/cam), FULLY DELIVERED → Success (màu xanh lá)</t>
  </si>
  <si>
    <t xml:space="preserve">2.9</t>
  </si>
  <si>
    <t xml:space="preserve">Click vào dòng Item để mở Object Page của Item</t>
  </si>
  <si>
    <t xml:space="preserve">Chuyển sang màn hình chi tiết Item, tiêu đề hiển thị Item ID, mô tả hiển thị Product ID, hiển thị đầy đủ 2 nhóm thông tin: Item Information và Schedule Lines</t>
  </si>
  <si>
    <t xml:space="preserve">2.10</t>
  </si>
  <si>
    <t xml:space="preserve">Kiểm tra hiển thị bảng Schedule Lines trong Object Page của Item</t>
  </si>
  <si>
    <t xml:space="preserve">Hiển thị chính xác bảng Schedule Lines với các cột: Schedule Line, Requested Delivery Date, Requested Quantity, Confirmed Delivery Date, Confirmed Quantity, Availability Status (cột Sales Unit được ẩn) và nút "Confirm Delivery" trên thanh công cụ của bảng; tiêu đề bảng hiển thị đúng tổng số Schedule Line</t>
  </si>
  <si>
    <t xml:space="preserve">Kiểm tra tính hợp lệ dữ liệu (Validation)</t>
  </si>
  <si>
    <t xml:space="preserve">3.1</t>
  </si>
  <si>
    <t xml:space="preserve">Create / Update Sales Order (Header)</t>
  </si>
  <si>
    <t xml:space="preserve">3.1.1</t>
  </si>
  <si>
    <t xml:space="preserve">Kiểm tra bấm "Create" để tạo mới Sales Order</t>
  </si>
  <si>
    <t xml:space="preserve">Mở Object Page ở chế độ Draft, hệ thống tự sinh Sales Order ID (10 chữ số, tăng dần theo Number Range ZTEAM2_SO), Lifecycle Status và Overall Status được gán mặc định là "OPEN"</t>
  </si>
  <si>
    <t xml:space="preserve">3.1.2</t>
  </si>
  <si>
    <t xml:space="preserve">Kiểm tra trạng thái các trường khi Create / Edit</t>
  </si>
  <si>
    <t xml:space="preserve">Sales Order Type, Sales Order Date, Customer ID (Sold-to Party) hiển thị dấu (*) Mandatory; Sales Order, Net Amount, Lifecycle Status, Overall Status, Created By, Created At, Local Last Changed By, Local Last Changed At, Last Changed At ở trạng thái ReadOnly</t>
  </si>
  <si>
    <t xml:space="preserve">3.1.3</t>
  </si>
  <si>
    <t xml:space="preserve">Kiểm tra Sales Order Type bỏ trống</t>
  </si>
  <si>
    <t xml:space="preserve">Hiển thị thông báo lỗi: "Field Sales Order Type is required."</t>
  </si>
  <si>
    <t xml:space="preserve">3.1.4</t>
  </si>
  <si>
    <t xml:space="preserve">Kiểm tra Sales Order Date bỏ trống</t>
  </si>
  <si>
    <t xml:space="preserve">Hiển thị thông báo lỗi: "Field Sales Order Date is required."</t>
  </si>
  <si>
    <t xml:space="preserve">3.1.5</t>
  </si>
  <si>
    <t xml:space="preserve">Kiểm tra Sales Order Date nhập sai định dạng ngày (Ví dụ: "abc")</t>
  </si>
  <si>
    <t xml:space="preserve">Hiển thị thông báo lỗi định dạng ngày ngay trên field (Enter a date ...) và không cho lưu</t>
  </si>
  <si>
    <t xml:space="preserve">3.1.6</t>
  </si>
  <si>
    <t xml:space="preserve">Kiểm tra Sold-to Party bỏ trống</t>
  </si>
  <si>
    <t xml:space="preserve">Hiển thị thông báo lỗi: "Field Sold-to Party is required."</t>
  </si>
  <si>
    <t xml:space="preserve">3.1.7</t>
  </si>
  <si>
    <t xml:space="preserve">Kiểm tra Sold-to Party nhập Customer ID không tồn tại</t>
  </si>
  <si>
    <t xml:space="preserve">Hiển thị thông báo lỗi: "Customer &lt;Customer ID&gt; does not exist."</t>
  </si>
  <si>
    <t xml:space="preserve">3.1.8</t>
  </si>
  <si>
    <t xml:space="preserve">Kiểm tra Sold-to Party nhập Customer đang ở trạng thái Inactive</t>
  </si>
  <si>
    <t xml:space="preserve">Hiển thị thông báo lỗi: "Customer &lt;Customer ID&gt; is inactive."</t>
  </si>
  <si>
    <t xml:space="preserve">3.1.9</t>
  </si>
  <si>
    <t xml:space="preserve">Kiểm tra chọn Sold-to Party hợp lệ từ Value Help</t>
  </si>
  <si>
    <t xml:space="preserve">Hệ thống tự động hiển thị Customer Name, Street, City, Country, Phone, Email trong group Sold-to Customer Information</t>
  </si>
  <si>
    <t xml:space="preserve">3.1.10</t>
  </si>
  <si>
    <t xml:space="preserve">Kiểm tra Ship-to Party bỏ trống</t>
  </si>
  <si>
    <t xml:space="preserve">Cho phép lưu bình thường (Ship-to Party không bắt buộc), group Ship-to Customer Information để trống</t>
  </si>
  <si>
    <t xml:space="preserve">3.1.11</t>
  </si>
  <si>
    <t xml:space="preserve">Kiểm tra Ship-to Party nhập Customer không tồn tại hoặc Inactive</t>
  </si>
  <si>
    <t xml:space="preserve">Hiển thị thông báo lỗi: "Ship-to Party does not exist or is inactive."</t>
  </si>
  <si>
    <t xml:space="preserve">3.1.12</t>
  </si>
  <si>
    <t xml:space="preserve">Kiểm tra chọn Ship-to Party hợp lệ từ Value Help</t>
  </si>
  <si>
    <t xml:space="preserve">Hệ thống tự động hiển thị Customer Name, Street, City, Country, Phone, Email trong group Ship-to Customer Information</t>
  </si>
  <si>
    <t xml:space="preserve">3.1.13</t>
  </si>
  <si>
    <t xml:space="preserve">Kiểm tra Sales Organization bỏ trống</t>
  </si>
  <si>
    <t xml:space="preserve">Hiển thị thông báo lỗi: "Field Sales Organization is required."</t>
  </si>
  <si>
    <t xml:space="preserve">3.1.14</t>
  </si>
  <si>
    <t xml:space="preserve">Kiểm tra Distribution Channel bỏ trống</t>
  </si>
  <si>
    <t xml:space="preserve">Hiển thị thông báo lỗi: "Field Distribution Channel is required."</t>
  </si>
  <si>
    <t xml:space="preserve">3.1.15</t>
  </si>
  <si>
    <t xml:space="preserve">Kiểm tra Division bỏ trống</t>
  </si>
  <si>
    <t xml:space="preserve">Hiển thị thông báo lỗi: "Field Division is required."</t>
  </si>
  <si>
    <t xml:space="preserve">3.1.16</t>
  </si>
  <si>
    <t xml:space="preserve">Kiểm tra Value Help của Sales Organization</t>
  </si>
  <si>
    <t xml:space="preserve">Value Help chỉ hiển thị các Sales Organization đang Active, kèm Sales Org Name</t>
  </si>
  <si>
    <t xml:space="preserve">3.1.17</t>
  </si>
  <si>
    <t xml:space="preserve">Kiểm tra Value Help của Distribution Channel sau khi đã chọn Sales Organization</t>
  </si>
  <si>
    <t xml:space="preserve">Value Help chỉ hiển thị các Distribution Channel thuộc Sales Area đang Active của Sales Organization đã chọn</t>
  </si>
  <si>
    <t xml:space="preserve">3.1.18</t>
  </si>
  <si>
    <t xml:space="preserve">Kiểm tra Value Help của Division sau khi đã chọn Sales Organization và Distribution Channel</t>
  </si>
  <si>
    <t xml:space="preserve">Value Help chỉ hiển thị các Division thuộc Sales Area đang Active tương ứng với Sales Organization và Distribution Channel đã chọn</t>
  </si>
  <si>
    <t xml:space="preserve">3.1.19</t>
  </si>
  <si>
    <t xml:space="preserve">Kiểm tra nhập tổ hợp Sales Organization / Distribution Channel / Division không tồn tại hoặc Inactive</t>
  </si>
  <si>
    <t xml:space="preserve">Hiển thị thông báo lỗi: "Sales Organization / Channel / Division combination is invalid or inactive." và highlight cả 3 trường</t>
  </si>
  <si>
    <t xml:space="preserve">3.1.20</t>
  </si>
  <si>
    <t xml:space="preserve">Kiểm tra Requested Delivery Date nhỏ hơn Sales Order Date</t>
  </si>
  <si>
    <t xml:space="preserve">Hiển thị thông báo lỗi: "Requested Delivery Date cannot be earlier than Sales Order Date."</t>
  </si>
  <si>
    <t xml:space="preserve">3.1.21</t>
  </si>
  <si>
    <t xml:space="preserve">Kiểm tra bỏ trống đồng thời nhiều trường bắt buộc rồi bấm "Create"</t>
  </si>
  <si>
    <t xml:space="preserve">Hiển thị đồng thời tất cả thông báo lỗi tương ứng trong Message Popover, các field lỗi được highlight màu đỏ, không cho lưu</t>
  </si>
  <si>
    <t xml:space="preserve">3.1.22</t>
  </si>
  <si>
    <t xml:space="preserve">Kiểm tra create Sales Order khi đã điền đầy đủ thông tin hợp lệ</t>
  </si>
  <si>
    <t xml:space="preserve">Hệ thống hiển thị thông báo thành công: "Object created"; Lifecycle Status = OPEN, Overall Status = OPEN</t>
  </si>
  <si>
    <t xml:space="preserve">3.1.23</t>
  </si>
  <si>
    <t xml:space="preserve">Kiểm tra cập nhật Sales Order (bấm "Edit" → sửa thông tin → "Save")</t>
  </si>
  <si>
    <t xml:space="preserve">Hệ thống hiển thị thông báo thành công: "Object saved"; Local Last Changed By / Local Last Changed At được cập nhật</t>
  </si>
  <si>
    <t xml:space="preserve">3.1.24</t>
  </si>
  <si>
    <t xml:space="preserve">Kiểm tra bấm "Discard Draft" khi đang Create / Edit</t>
  </si>
  <si>
    <t xml:space="preserve">Hệ thống hiện popup xác nhận, nếu đồng ý thì bản Draft bị huỷ và dữ liệu đơn hàng giữ nguyên như trước khi chỉnh sửa</t>
  </si>
  <si>
    <t xml:space="preserve">3.2</t>
  </si>
  <si>
    <t xml:space="preserve">Create / Update Sales Order Item</t>
  </si>
  <si>
    <t xml:space="preserve">3.2.1</t>
  </si>
  <si>
    <t xml:space="preserve">Kiểm tra tạo mới Item trong bảng Sales Order Items</t>
  </si>
  <si>
    <t xml:space="preserve">Hệ thống tự sinh Item ID theo bước nhảy 10 (000010, 000020, 000030, ...); Delivery Status mặc định = "NOT DELIVERED" (Icon màu đỏ)</t>
  </si>
  <si>
    <t xml:space="preserve">3.2.2</t>
  </si>
  <si>
    <t xml:space="preserve">Kiểm tra trạng thái các trường của Item khi Create / Edit</t>
  </si>
  <si>
    <t xml:space="preserve">Product, Plant, Requested Quantity ở trạng thái Mandatory; Product Description, Sales Unit, Confirmed Quantity, Net Amount, Delivery Status ở trạng thái ReadOnly</t>
  </si>
  <si>
    <t xml:space="preserve">3.2.3</t>
  </si>
  <si>
    <t xml:space="preserve">Kiểm tra chọn Product từ Value Help (Ví dụ: "IPHONE 16 PRO 512GB")</t>
  </si>
  <si>
    <t xml:space="preserve">Hệ thống tự động điền Product Description, Sales Unit (= Base Unit của sản phẩm), Net Price và Currency theo giá Active có Validity Start Date mới nhất và không lớn hơn ngày hiện tại</t>
  </si>
  <si>
    <t xml:space="preserve">3.2.4</t>
  </si>
  <si>
    <t xml:space="preserve">Kiểm tra chọn Product có nhiều giá Active cùng Validity Start Date mới nhất</t>
  </si>
  <si>
    <t xml:space="preserve">Net Price và Currency để trống (hệ thống không tự chọn giá khi bị trùng)</t>
  </si>
  <si>
    <t xml:space="preserve">3.2.5</t>
  </si>
  <si>
    <t xml:space="preserve">Kiểm tra chọn Product chưa có giá Active hợp lệ</t>
  </si>
  <si>
    <t xml:space="preserve">Product Description và Sales Unit được điền, Net Price và Currency để trống, Net Amount = 0</t>
  </si>
  <si>
    <t xml:space="preserve">3.2.6</t>
  </si>
  <si>
    <t xml:space="preserve">Kiểm tra thay đổi Product của Item</t>
  </si>
  <si>
    <t xml:space="preserve">Product Description, Sales Unit, Net Price, Currency, Net Amount của Item và Net Amount của Header được làm mới theo sản phẩm mới</t>
  </si>
  <si>
    <t xml:space="preserve">3.2.7</t>
  </si>
  <si>
    <t xml:space="preserve">Kiểm tra Plant bỏ trống</t>
  </si>
  <si>
    <t xml:space="preserve">Hiển thị thông báo lỗi: "Field Plant is required."</t>
  </si>
  <si>
    <t xml:space="preserve">3.2.8</t>
  </si>
  <si>
    <t xml:space="preserve">Kiểm tra Requested Quantity nhập bằng 0</t>
  </si>
  <si>
    <t xml:space="preserve">Hiển thị thông báo lỗi: "Requested Quantity must be greater than 0."</t>
  </si>
  <si>
    <t xml:space="preserve">3.2.9</t>
  </si>
  <si>
    <t xml:space="preserve">Kiểm tra Requested Quantity nhập số âm</t>
  </si>
  <si>
    <t xml:space="preserve">3.2.10</t>
  </si>
  <si>
    <t xml:space="preserve">Kiểm tra Requested Quantity nhập ký tự chuỗi</t>
  </si>
  <si>
    <t xml:space="preserve">Hiển thị thông báo lỗi: "Enter a number"</t>
  </si>
  <si>
    <t xml:space="preserve">3.2.11</t>
  </si>
  <si>
    <t xml:space="preserve">Kiểm tra tính toán Net Amount của Item</t>
  </si>
  <si>
    <t xml:space="preserve">Khi thay đổi Requested Quantity hoặc Net Price, hệ thống tự tính ngay Net Amount = Requested Quantity × Net Price</t>
  </si>
  <si>
    <t xml:space="preserve">3.2.12</t>
  </si>
  <si>
    <t xml:space="preserve">Kiểm tra tính toán Net Amount của Header</t>
  </si>
  <si>
    <t xml:space="preserve">Net Amount của Header = tổng Net Amount của tất cả Item, Currency của Header lấy theo Currency của Item, cập nhật ngay khi thêm / sửa / xoá Item</t>
  </si>
  <si>
    <t xml:space="preserve">3.2.13</t>
  </si>
  <si>
    <t xml:space="preserve">Kiểm tra tạo 2 Item có Currency khác nhau trong cùng 1 Sales Order</t>
  </si>
  <si>
    <t xml:space="preserve">Hiển thị thông báo lỗi: "Sales Order Items must use the same valid currency."</t>
  </si>
  <si>
    <t xml:space="preserve">3.2.14</t>
  </si>
  <si>
    <t xml:space="preserve">Kiểm tra xoá Item khi Item chưa được giao (Confirmed Quantity = 0)</t>
  </si>
  <si>
    <t xml:space="preserve">Item bị xoá thành công, Net Amount và Overall Status của Header được tính lại</t>
  </si>
  <si>
    <t xml:space="preserve">3.2.15</t>
  </si>
  <si>
    <t xml:space="preserve">Kiểm tra Item đã được giao một phần (Confirmed Quantity &gt; 0)</t>
  </si>
  <si>
    <t xml:space="preserve">Các field của Item chuyển sang ReadOnly, nút "Delete" của Item bị Disable; vẫn cho phép tạo thêm Schedule Line</t>
  </si>
  <si>
    <t xml:space="preserve">3.2.16</t>
  </si>
  <si>
    <t xml:space="preserve">Kiểm tra Item đã giao đủ (Delivery Status = FULLY DELIVERED)</t>
  </si>
  <si>
    <t xml:space="preserve">Item không cho phép Edit / Delete, nút "Create" của bảng Schedule Lines bị Disable</t>
  </si>
  <si>
    <t xml:space="preserve">3.2.17</t>
  </si>
  <si>
    <t xml:space="preserve">Kiểm tra Item thuộc Sales Order đã COMPLETED</t>
  </si>
  <si>
    <t xml:space="preserve">Toàn bộ Item ở trạng thái ReadOnly, không cho phép Edit / Delete Item và không cho phép tạo Schedule Line</t>
  </si>
  <si>
    <t xml:space="preserve">3.3</t>
  </si>
  <si>
    <t xml:space="preserve">Create / Update Schedule Line</t>
  </si>
  <si>
    <t xml:space="preserve">3.3.1</t>
  </si>
  <si>
    <t xml:space="preserve">Kiểm tra tạo mới Schedule Line trong Object Page của Item</t>
  </si>
  <si>
    <t xml:space="preserve">Hệ thống tự sinh Schedule Line ID tăng dần (0001, 0002, ...); Sales Unit được lấy theo Sales Unit của Item</t>
  </si>
  <si>
    <t xml:space="preserve">3.3.2</t>
  </si>
  <si>
    <t xml:space="preserve">Kiểm tra trạng thái các trường của Schedule Line khi Create / Edit</t>
  </si>
  <si>
    <t xml:space="preserve">Requested Delivery Date, Requested Quantity cho phép nhập; Availability Status, Confirmed Quantity, Confirmed Delivery Date ở trạng thái ReadOnly</t>
  </si>
  <si>
    <t xml:space="preserve">3.3.3</t>
  </si>
  <si>
    <t xml:space="preserve">Kiểm tra Requested Quantity nhỏ hơn hoặc bằng tồn kho và không vượt quá số lượng còn lại của Item</t>
  </si>
  <si>
    <t xml:space="preserve">Availability Status được set = "AVAILABLE"</t>
  </si>
  <si>
    <t xml:space="preserve">3.3.4</t>
  </si>
  <si>
    <t xml:space="preserve">Kiểm tra Requested Quantity lớn hơn tồn kho (Available Quantity) của sản phẩm</t>
  </si>
  <si>
    <t xml:space="preserve">Availability Status được set = "UNAVAILABLE"</t>
  </si>
  <si>
    <t xml:space="preserve">3.3.5</t>
  </si>
  <si>
    <t xml:space="preserve">3.3.6</t>
  </si>
  <si>
    <t xml:space="preserve">Kiểm tra Confirmed Quantity của Item + Requested Quantity của Schedule Line lớn hơn Requested Quantity của Item</t>
  </si>
  <si>
    <t xml:space="preserve">3.3.7</t>
  </si>
  <si>
    <t xml:space="preserve">Kiểm tra tổng Requested Quantity của các Schedule Line lớn hơn Requested Quantity của Item rồi bấm "Save"</t>
  </si>
  <si>
    <t xml:space="preserve">Hiển thị thông báo lỗi: "Total Schedule Line Requested Quantity must not exceed Item Requested Quantity."</t>
  </si>
  <si>
    <t xml:space="preserve">3.3.8</t>
  </si>
  <si>
    <t xml:space="preserve">3.3.9</t>
  </si>
  <si>
    <t xml:space="preserve">Kiểm tra thay đổi Requested Quantity / Requested Delivery Date của Schedule Line</t>
  </si>
  <si>
    <t xml:space="preserve">Availability Status được tính lại và cập nhật ngay trên UI</t>
  </si>
  <si>
    <t xml:space="preserve">3.3.10</t>
  </si>
  <si>
    <t xml:space="preserve">Kiểm tra Schedule Line đã được Confirm (Availability Status = CONFIRMED)</t>
  </si>
  <si>
    <t xml:space="preserve">Schedule Line không cho phép Edit / Delete</t>
  </si>
  <si>
    <t xml:space="preserve">3.3.11</t>
  </si>
  <si>
    <t xml:space="preserve">Kiểm tra xoá Schedule Line chưa được Confirm</t>
  </si>
  <si>
    <t xml:space="preserve">Schedule Line bị xoá thành công</t>
  </si>
  <si>
    <t xml:space="preserve">3.4</t>
  </si>
  <si>
    <t xml:space="preserve">Delete Sales Order</t>
  </si>
  <si>
    <t xml:space="preserve">3.4.1</t>
  </si>
  <si>
    <t xml:space="preserve">Kiểm tra xoá Sales Order từ List Report (chọn checkbox → "Delete")</t>
  </si>
  <si>
    <t xml:space="preserve">Hệ thống hiện popup xác nhận, nếu ấn "Delete" thì hiển thị thông báo thành công: "Object deleted"; toàn bộ Item và Schedule Line của đơn hàng bị xoá theo</t>
  </si>
  <si>
    <t xml:space="preserve">3.4.2</t>
  </si>
  <si>
    <t xml:space="preserve">Kiểm tra xoá Sales Order từ Object Page</t>
  </si>
  <si>
    <t xml:space="preserve">Hệ thống hiện popup xác nhận, nếu ấn "Delete" thì hiển thị thông báo thành công: "Object deleted" và quay về List Report</t>
  </si>
  <si>
    <t xml:space="preserve">3.4.3</t>
  </si>
  <si>
    <t xml:space="preserve">Kiểm tra ấn "Cancel" trong popup xác nhận xoá</t>
  </si>
  <si>
    <t xml:space="preserve">Hệ thống không thực hiện xoá, dữ liệu giữ nguyên</t>
  </si>
  <si>
    <t xml:space="preserve">Kiểm tra trạng thái và hiển thị Icon (Lifecycle Status, Overall Status, Delivery Status &amp; Criticality)</t>
  </si>
  <si>
    <t xml:space="preserve">4.1</t>
  </si>
  <si>
    <t xml:space="preserve">Kiểm tra trạng thái của Sales Order mới được tạo</t>
  </si>
  <si>
    <t xml:space="preserve">Lifecycle Status = "OPEN", Overall Status = "OPEN", hiển thị Neutral (không màu)</t>
  </si>
  <si>
    <t xml:space="preserve">4.2</t>
  </si>
  <si>
    <t xml:space="preserve">Kiểm tra Sales Order có Item nhưng chưa giao, Requested Delivery Date ≥ ngày hiện tại</t>
  </si>
  <si>
    <t xml:space="preserve">Lifecycle Status = "OPEN", Overall Status = "OPEN"; Delivery Status của Item = "NOT DELIVERED" (Icon màu đỏ)</t>
  </si>
  <si>
    <t xml:space="preserve">4.3</t>
  </si>
  <si>
    <t xml:space="preserve">Kiểm tra Sales Order có Item được giao một phần (Confirmed Quantity &gt; 0 nhưng chưa đủ)</t>
  </si>
  <si>
    <t xml:space="preserve">Delivery Status của Item = "PARTIALLY DELIVERED" (Icon màu vàng); Overall Status = "PARTIAL" (màu vàng), Lifecycle Status = "IN_PROCESS" (màu vàng)</t>
  </si>
  <si>
    <t xml:space="preserve">4.4</t>
  </si>
  <si>
    <t xml:space="preserve">Kiểm tra Sales Order có tất cả Item đã giao đủ</t>
  </si>
  <si>
    <t xml:space="preserve">Delivery Status của các Item = "FULLY DELIVERED" (Icon màu xanh lá); Overall Status = "COMPLETED", Lifecycle Status = "COMPLETED" (màu xanh lá)</t>
  </si>
  <si>
    <t xml:space="preserve">4.5</t>
  </si>
  <si>
    <t xml:space="preserve">Kiểm tra Sales Order chưa giao đủ và Requested Delivery Date &lt; ngày hiện tại</t>
  </si>
  <si>
    <t xml:space="preserve">Overall Status = "OVERDUE" (Icon màu đỏ), Lifecycle Status = "IN_PROCESS" (màu vàng)</t>
  </si>
  <si>
    <t xml:space="preserve">4.6</t>
  </si>
  <si>
    <t xml:space="preserve">Kiểm tra Sales Order không có Item và Requested Delivery Date &lt; ngày hiện tại</t>
  </si>
  <si>
    <t xml:space="preserve">Overall Status và Lifecycle Status giữ nguyên "OPEN" (đơn hàng rỗng không bị tính là quá hạn hay hoàn tất)</t>
  </si>
  <si>
    <t xml:space="preserve">Kiểm tra các nút nghiệp vụ hành động (Action: Confirm Delivery)</t>
  </si>
  <si>
    <t xml:space="preserve">5.1</t>
  </si>
  <si>
    <t xml:space="preserve">Kiểm tra chọn checkbox vào Schedule Line có Availability Status = "AVAILABLE" (đơn hàng ở chế độ hiển thị)</t>
  </si>
  <si>
    <t xml:space="preserve">Hệ thống Enable nút "Confirm Delivery"</t>
  </si>
  <si>
    <t xml:space="preserve">5.2</t>
  </si>
  <si>
    <t xml:space="preserve">Kiểm tra chọn checkbox vào Schedule Line có Availability Status = "UNAVAILABLE" hoặc "CONFIRMED"</t>
  </si>
  <si>
    <t xml:space="preserve">Hệ thống Disable nút "Confirm Delivery"</t>
  </si>
  <si>
    <t xml:space="preserve">5.3</t>
  </si>
  <si>
    <t xml:space="preserve">Kiểm tra nút "Confirm Delivery" khi Sales Order đang ở chế độ Edit (Draft)</t>
  </si>
  <si>
    <t xml:space="preserve">Hệ thống Disable nút "Confirm Delivery" (chỉ cho phép Confirm trên bản ghi Active đã lưu)</t>
  </si>
  <si>
    <t xml:space="preserve">5.4</t>
  </si>
  <si>
    <t xml:space="preserve">Kiểm tra Confirm Delivery 1 Schedule Line hợp lệ</t>
  </si>
  <si>
    <t xml:space="preserve">Availability Status = "CONFIRMED", Confirmed Quantity = Requested Quantity, Confirmed Delivery Date = ngày hiện tại; Confirmed Quantity và Delivery Status của Item được cập nhật ngay trên UI</t>
  </si>
  <si>
    <t xml:space="preserve">5.5</t>
  </si>
  <si>
    <t xml:space="preserve">Kiểm tra tồn kho sản phẩm sau khi Confirm Delivery</t>
  </si>
  <si>
    <t xml:space="preserve">Available Quantity của sản phẩm (Product) giảm đúng bằng Requested Quantity của Schedule Line vừa Confirm</t>
  </si>
  <si>
    <t xml:space="preserve">5.6</t>
  </si>
  <si>
    <t xml:space="preserve">Kiểm tra Confirm Delivery khi tồn kho sản phẩm không còn đủ (tồn kho bị giảm sau khi tạo Schedule Line)</t>
  </si>
  <si>
    <t xml:space="preserve">Hiển thị thông báo lỗi: "Insufficient stock to confirm this Schedule Line."</t>
  </si>
  <si>
    <t xml:space="preserve">5.7</t>
  </si>
  <si>
    <t xml:space="preserve">Kiểm tra Confirm Delivery Schedule Line chưa nhập Requested Delivery Date</t>
  </si>
  <si>
    <t xml:space="preserve">Hiển thị thông báo lỗi: "Item is complete, or requested delivery data is invalid."</t>
  </si>
  <si>
    <t xml:space="preserve">5.8</t>
  </si>
  <si>
    <t xml:space="preserve">Kiểm tra Confirm Delivery Schedule Line cuối cùng làm Item đủ số lượng</t>
  </si>
  <si>
    <t xml:space="preserve">Item chuyển sang "FULLY DELIVERED" (Icon màu xanh lá); nút "Create" Schedule Line bị Disable; Overall Status của Header được tính lại (COMPLETED nếu tất cả Item đã giao đủ)</t>
  </si>
  <si>
    <t xml:space="preserve">5.9</t>
  </si>
  <si>
    <t xml:space="preserve">Kiểm tra gọi action Confirm Delivery trên bản Draft (từ phía client gửi request)</t>
  </si>
  <si>
    <t xml:space="preserve">Hiển thị thông báo lỗi: "Confirm Delivery is only allowed for active Sales Orders."</t>
  </si>
  <si>
    <t xml:space="preserve">5.10</t>
  </si>
  <si>
    <t xml:space="preserve">Kiểm tra gọi action Confirm Delivery cho Schedule Line không ở trạng thái AVAILABLE (từ phía client gửi request)</t>
  </si>
  <si>
    <t xml:space="preserve">Hiển thị thông báo lỗi: "Only AVAILABLE Schedule Lines can be confirmed."</t>
  </si>
  <si>
    <t xml:space="preserve">Kiểm tra Background Job cập nhật trạng thái quá hạn (Application Job: Overdue)</t>
  </si>
  <si>
    <t xml:space="preserve">6.1</t>
  </si>
  <si>
    <t xml:space="preserve">Chạy class ZCL_TEAM2_SO_JOB_SCHEDULER (F9 trong ADT) để lên lịch Job</t>
  </si>
  <si>
    <t xml:space="preserve">Console hiển thị: "Job scheduled successfully.", Job Name, Job Count, "Frequency: Every day at 00:05", Timezone; Job xuất hiện trong app Application Jobs, chạy lần đầu lúc 00:05 ngày hôm sau, lặp lại hằng ngày, tối đa 365 lần</t>
  </si>
  <si>
    <t xml:space="preserve">6.2</t>
  </si>
  <si>
    <t xml:space="preserve">Kiểm tra Job chạy với Sales Order OPEN / PARTIAL có Requested Delivery Date &lt; ngày chạy Job và chưa giao đủ</t>
  </si>
  <si>
    <t xml:space="preserve">Overall Status chuyển sang "OVERDUE" (Icon màu đỏ), Lifecycle Status = "IN_PROCESS"</t>
  </si>
  <si>
    <t xml:space="preserve">6.3</t>
  </si>
  <si>
    <t xml:space="preserve">Kiểm tra Job chạy với Sales Order có Requested Delivery Date ≥ ngày chạy Job</t>
  </si>
  <si>
    <t xml:space="preserve">Trạng thái của Sales Order được giữ nguyên</t>
  </si>
  <si>
    <t xml:space="preserve">6.4</t>
  </si>
  <si>
    <t xml:space="preserve">Kiểm tra Job chạy với Sales Order đã COMPLETED</t>
  </si>
  <si>
    <t xml:space="preserve">Job không xử lý các Sales Order đã COMPLETED, trạng thái giữ nguyên</t>
  </si>
  <si>
    <t xml:space="preserve">6.5</t>
  </si>
  <si>
    <t xml:space="preserve">Kiểm tra Job chạy với số lượng lớn Sales Order (&gt; 200 đơn)</t>
  </si>
  <si>
    <t xml:space="preserve">Job xử lý theo từng lô 200 đơn, tất cả đơn thoả điều kiện đều được cập nhật, trạng thái Job = "Finished"</t>
  </si>
  <si>
    <t xml:space="preserve">Kiểm tra phân quyền (Authorization)</t>
  </si>
  <si>
    <t xml:space="preserve">7.1</t>
  </si>
  <si>
    <t xml:space="preserve">Kiểm tra đăng nhập bằng user thường (không có role MANAGER) và mở List Report</t>
  </si>
  <si>
    <t xml:space="preserve">Danh sách chỉ hiển thị các Sales Order do chính user đó tạo (Created By = user đăng nhập)</t>
  </si>
  <si>
    <t xml:space="preserve">7.2</t>
  </si>
  <si>
    <t xml:space="preserve">Kiểm tra đăng nhập bằng user có role MANAGER đang Active và còn hiệu lực</t>
  </si>
  <si>
    <t xml:space="preserve">Danh sách hiển thị toàn bộ Sales Order; cho phép "Edit" Sales Order do user khác tạo</t>
  </si>
  <si>
    <t xml:space="preserve">7.3</t>
  </si>
  <si>
    <t xml:space="preserve">Kiểm tra user có role MANAGER đã hết hiệu lực (Valid To &lt; ngày hiện tại) hoặc Inactive</t>
  </si>
  <si>
    <t xml:space="preserve">User được xem như user thường, chỉ được "Edit" các Sales Order do chính mình tạo</t>
  </si>
  <si>
    <t xml:space="preserve">7.4</t>
  </si>
  <si>
    <t xml:space="preserve">Kiểm tra user thường tạo và chỉnh sửa Sales Order của chính mình</t>
  </si>
  <si>
    <t xml:space="preserve">Cho phép "Create", "Edit" và lưu thành công</t>
  </si>
  <si>
    <t xml:space="preserve">Tổng số Test Case</t>
  </si>
  <si>
    <t xml:space="preserve">OK</t>
  </si>
  <si>
    <t xml:space="preserve">NG</t>
  </si>
  <si>
    <t xml:space="preserve">Chưa test</t>
  </si>
  <si>
    <t xml:space="preserve">Lưu ý từ source code (các điểm có thể làm Test Case bị NG)</t>
  </si>
  <si>
    <t xml:space="preserve">STT</t>
  </si>
  <si>
    <t xml:space="preserve">Nội dung</t>
  </si>
  <si>
    <t xml:space="preserve">Message ZTEAM2_SO/008 trong message class bị cắt mất chữ (chỉ lưu "...must not exceed Item Requested Qua"), nên thông báo hiển thị sẽ bị thiếu chữ.</t>
  </si>
  <si>
    <t xml:space="preserve">Determination calculate_header_net_amount gọi action recalc_header_net_amount nhưng không nhận lại REPORTED/FAILED, nên lỗi "Sales Order Items must use the same valid currency." có thể không hiển thị ra UI.</t>
  </si>
  <si>
    <t xml:space="preserve">Validation empty_on_save của Item chỉ chạy khi field Plant thay đổi (không có trigger "create"), nên nếu tạo Item mà chưa từng nhập Plant thì lỗi có thể không xuất hiện.</t>
  </si>
  <si>
    <t xml:space="preserve">Khi bỏ trống Sold-to Party, validation check_sold_to_party vẫn chạy và có thể hiện thêm lỗi "Customer  does not exist." (ID rỗng) bên cạnh "Field Sold-to Party is required.".</t>
  </si>
  <si>
    <t xml:space="preserve">Schedule Line không có validation chặn Requested Quantity &lt;= 0, hệ thống chỉ set UNAVAILABLE chứ không báo lỗi.</t>
  </si>
  <si>
    <t xml:space="preserve">AvailabilityCriticality trong ZI_TEAM2_SCHED_LN luôn = 0 cho mọi trạng thái, nên Availability Status không có Icon / màu phân biệt.</t>
  </si>
  <si>
    <t xml:space="preserve">Annotation @UI.identification của Header khai báo nút Confirm Order / Reject Order / Complete Order nhưng BDEF không có các action này, nên các nút sẽ không hoạt động.</t>
  </si>
  <si>
    <t xml:space="preserve">Header không có Feature Control cho Delete / Create Item (get_instance_features rỗng): vẫn xoá được đơn đã giao (tồn kho không được hoàn lại) và vẫn thêm Item được vào đơn đã COMPLETED.</t>
  </si>
  <si>
    <t xml:space="preserve">6.x</t>
  </si>
  <si>
    <t xml:space="preserve">Job ZCL_TEAM2_SO_OVERDUE_JOB raise message ZTEAM2_SO 020 / 021 nhưng message class chưa có 2 message này.</t>
  </si>
  <si>
    <t xml:space="preserve">1.x</t>
  </si>
  <si>
    <t xml:space="preserve">Projection ZCR_TEAM2_SO_HD chưa có @Search.searchable nên List Report không có ô Search (chỉ lọc qua Filter Bar).</t>
  </si>
</sst>
</file>

<file path=xl/styles.xml><?xml version="1.0" encoding="utf-8"?>
<styleSheet xmlns="http://schemas.openxmlformats.org/spreadsheetml/2006/main">
  <numFmts count="2">
    <numFmt numFmtId="164" formatCode="General"/>
    <numFmt numFmtId="165" formatCode="General"/>
  </numFmts>
  <fonts count="10">
    <font>
      <sz val="11"/>
      <color theme="1"/>
      <name val="Calibri"/>
      <family val="2"/>
      <charset val="1"/>
    </font>
    <font>
      <sz val="10"/>
      <name val="Arial"/>
      <family val="0"/>
    </font>
    <font>
      <sz val="10"/>
      <name val="Arial"/>
      <family val="0"/>
    </font>
    <font>
      <sz val="10"/>
      <name val="Arial"/>
      <family val="0"/>
    </font>
    <font>
      <b val="true"/>
      <sz val="14"/>
      <color rgb="FF1F4E78"/>
      <name val="Arial"/>
      <family val="0"/>
      <charset val="1"/>
    </font>
    <font>
      <i val="true"/>
      <sz val="10"/>
      <name val="Arial"/>
      <family val="0"/>
      <charset val="1"/>
    </font>
    <font>
      <b val="true"/>
      <sz val="11"/>
      <color rgb="FFFFFFFF"/>
      <name val="Arial"/>
      <family val="0"/>
      <charset val="1"/>
    </font>
    <font>
      <b val="true"/>
      <sz val="10"/>
      <name val="Arial"/>
      <family val="0"/>
      <charset val="1"/>
    </font>
    <font>
      <sz val="10"/>
      <name val="Arial"/>
      <family val="0"/>
      <charset val="1"/>
    </font>
    <font>
      <b val="true"/>
      <sz val="12"/>
      <color rgb="FF1F4E78"/>
      <name val="Arial"/>
      <family val="0"/>
      <charset val="1"/>
    </font>
  </fonts>
  <fills count="5">
    <fill>
      <patternFill patternType="none"/>
    </fill>
    <fill>
      <patternFill patternType="gray125"/>
    </fill>
    <fill>
      <patternFill patternType="solid">
        <fgColor rgb="FF1F4E78"/>
        <bgColor rgb="FF003366"/>
      </patternFill>
    </fill>
    <fill>
      <patternFill patternType="solid">
        <fgColor rgb="FFBDD7EE"/>
        <bgColor rgb="FFC6EFCE"/>
      </patternFill>
    </fill>
    <fill>
      <patternFill patternType="solid">
        <fgColor rgb="FFDDEBF7"/>
        <bgColor rgb="FFCCFFFF"/>
      </patternFill>
    </fill>
  </fills>
  <borders count="2">
    <border diagonalUp="false" diagonalDown="false">
      <left/>
      <right/>
      <top/>
      <bottom/>
      <diagonal/>
    </border>
    <border diagonalUp="false" diagonalDown="false">
      <left style="thin">
        <color rgb="FF808080"/>
      </left>
      <right style="thin">
        <color rgb="FF808080"/>
      </right>
      <top style="thin">
        <color rgb="FF808080"/>
      </top>
      <bottom style="thin">
        <color rgb="FF80808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2" borderId="1" xfId="0" applyFont="true" applyBorder="true" applyAlignment="true" applyProtection="false">
      <alignment horizontal="center" vertical="center" textRotation="0" wrapText="fals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center"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center" vertical="top" textRotation="0" wrapText="tru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left" vertical="center" textRotation="0" wrapText="false" indent="0" shrinkToFit="false"/>
      <protection locked="true" hidden="false"/>
    </xf>
    <xf numFmtId="165" fontId="7" fillId="0" borderId="1" xfId="0" applyFont="true" applyBorder="true" applyAlignment="true" applyProtection="false">
      <alignment horizontal="left" vertical="center"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ont>
        <name val="Arial"/>
        <charset val="1"/>
        <family val="0"/>
        <b val="1"/>
        <color rgb="FF006100"/>
      </font>
      <fill>
        <patternFill>
          <bgColor rgb="FFC6EFCE"/>
        </patternFill>
      </fill>
    </dxf>
    <dxf>
      <font>
        <name val="Arial"/>
        <charset val="1"/>
        <family val="0"/>
        <b val="1"/>
        <color rgb="FF9C0006"/>
      </font>
      <fill>
        <patternFill>
          <bgColor rgb="FFFFC7CE"/>
        </patternFill>
      </fill>
    </dxf>
  </dxfs>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C0C0C0"/>
      <rgbColor rgb="FF808080"/>
      <rgbColor rgb="FF9999FF"/>
      <rgbColor rgb="FF993366"/>
      <rgbColor rgb="FFFFFFCC"/>
      <rgbColor rgb="FFDDEBF7"/>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7CE"/>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12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8"/>
    <col collapsed="false" customWidth="true" hidden="false" outlineLevel="0" max="3" min="3" style="0" width="62"/>
    <col collapsed="false" customWidth="true" hidden="false" outlineLevel="0" max="4" min="4" style="0" width="82"/>
    <col collapsed="false" customWidth="true" hidden="false" outlineLevel="0" max="5" min="5" style="0" width="10"/>
  </cols>
  <sheetData>
    <row r="1" customFormat="false" ht="17.35" hidden="false" customHeight="false" outlineLevel="0" collapsed="false">
      <c r="A1" s="1" t="s">
        <v>0</v>
      </c>
      <c r="B1" s="1"/>
      <c r="C1" s="1"/>
      <c r="D1" s="1"/>
      <c r="E1" s="1"/>
    </row>
    <row r="2" customFormat="false" ht="27.75" hidden="false" customHeight="true" outlineLevel="0" collapsed="false">
      <c r="A2" s="2" t="s">
        <v>1</v>
      </c>
      <c r="B2" s="2"/>
      <c r="C2" s="2"/>
      <c r="D2" s="2"/>
      <c r="E2" s="2"/>
    </row>
    <row r="4" customFormat="false" ht="21.75" hidden="false" customHeight="true" outlineLevel="0" collapsed="false">
      <c r="A4" s="3" t="s">
        <v>2</v>
      </c>
      <c r="B4" s="3"/>
      <c r="C4" s="3" t="s">
        <v>3</v>
      </c>
      <c r="D4" s="3" t="s">
        <v>4</v>
      </c>
      <c r="E4" s="3" t="s">
        <v>5</v>
      </c>
    </row>
    <row r="5" customFormat="false" ht="15" hidden="false" customHeight="false" outlineLevel="0" collapsed="false">
      <c r="A5" s="4"/>
      <c r="B5" s="4"/>
      <c r="C5" s="4" t="s">
        <v>6</v>
      </c>
      <c r="D5" s="4"/>
      <c r="E5" s="4"/>
    </row>
    <row r="6" customFormat="false" ht="35.05" hidden="false" customHeight="false" outlineLevel="0" collapsed="false">
      <c r="A6" s="5" t="s">
        <v>7</v>
      </c>
      <c r="B6" s="5"/>
      <c r="C6" s="6" t="s">
        <v>8</v>
      </c>
      <c r="D6" s="6" t="s">
        <v>9</v>
      </c>
      <c r="E6" s="5"/>
    </row>
    <row r="7" customFormat="false" ht="23.85" hidden="false" customHeight="false" outlineLevel="0" collapsed="false">
      <c r="A7" s="5" t="s">
        <v>10</v>
      </c>
      <c r="B7" s="5"/>
      <c r="C7" s="6" t="s">
        <v>11</v>
      </c>
      <c r="D7" s="6" t="s">
        <v>12</v>
      </c>
      <c r="E7" s="5"/>
    </row>
    <row r="8" customFormat="false" ht="23.85" hidden="false" customHeight="false" outlineLevel="0" collapsed="false">
      <c r="A8" s="5" t="s">
        <v>13</v>
      </c>
      <c r="B8" s="5"/>
      <c r="C8" s="6" t="s">
        <v>14</v>
      </c>
      <c r="D8" s="6" t="s">
        <v>15</v>
      </c>
      <c r="E8" s="5"/>
    </row>
    <row r="9" customFormat="false" ht="23.85" hidden="false" customHeight="false" outlineLevel="0" collapsed="false">
      <c r="A9" s="5" t="s">
        <v>16</v>
      </c>
      <c r="B9" s="5"/>
      <c r="C9" s="6" t="s">
        <v>17</v>
      </c>
      <c r="D9" s="6" t="s">
        <v>18</v>
      </c>
      <c r="E9" s="5"/>
    </row>
    <row r="10" customFormat="false" ht="23.85" hidden="false" customHeight="false" outlineLevel="0" collapsed="false">
      <c r="A10" s="5" t="s">
        <v>19</v>
      </c>
      <c r="B10" s="5"/>
      <c r="C10" s="6" t="s">
        <v>20</v>
      </c>
      <c r="D10" s="6" t="s">
        <v>21</v>
      </c>
      <c r="E10" s="5"/>
    </row>
    <row r="11" customFormat="false" ht="35.05" hidden="false" customHeight="false" outlineLevel="0" collapsed="false">
      <c r="A11" s="5" t="s">
        <v>22</v>
      </c>
      <c r="B11" s="5"/>
      <c r="C11" s="6" t="s">
        <v>23</v>
      </c>
      <c r="D11" s="6" t="s">
        <v>24</v>
      </c>
      <c r="E11" s="5"/>
    </row>
    <row r="12" customFormat="false" ht="23.85" hidden="false" customHeight="false" outlineLevel="0" collapsed="false">
      <c r="A12" s="5" t="s">
        <v>25</v>
      </c>
      <c r="B12" s="5"/>
      <c r="C12" s="6" t="s">
        <v>26</v>
      </c>
      <c r="D12" s="6" t="s">
        <v>27</v>
      </c>
      <c r="E12" s="5"/>
    </row>
    <row r="13" customFormat="false" ht="23.85" hidden="false" customHeight="false" outlineLevel="0" collapsed="false">
      <c r="A13" s="5" t="s">
        <v>28</v>
      </c>
      <c r="B13" s="5"/>
      <c r="C13" s="6" t="s">
        <v>29</v>
      </c>
      <c r="D13" s="6" t="s">
        <v>30</v>
      </c>
      <c r="E13" s="5"/>
    </row>
    <row r="14" customFormat="false" ht="23.85" hidden="false" customHeight="false" outlineLevel="0" collapsed="false">
      <c r="A14" s="5" t="s">
        <v>31</v>
      </c>
      <c r="B14" s="5"/>
      <c r="C14" s="6" t="s">
        <v>32</v>
      </c>
      <c r="D14" s="6" t="s">
        <v>33</v>
      </c>
      <c r="E14" s="5"/>
    </row>
    <row r="15" customFormat="false" ht="15" hidden="false" customHeight="false" outlineLevel="0" collapsed="false">
      <c r="A15" s="5" t="s">
        <v>34</v>
      </c>
      <c r="B15" s="5"/>
      <c r="C15" s="6" t="s">
        <v>35</v>
      </c>
      <c r="D15" s="6" t="s">
        <v>36</v>
      </c>
      <c r="E15" s="5"/>
    </row>
    <row r="16" customFormat="false" ht="23.85" hidden="false" customHeight="false" outlineLevel="0" collapsed="false">
      <c r="A16" s="4"/>
      <c r="B16" s="4"/>
      <c r="C16" s="4" t="s">
        <v>37</v>
      </c>
      <c r="D16" s="4"/>
      <c r="E16" s="4"/>
    </row>
    <row r="17" customFormat="false" ht="23.85" hidden="false" customHeight="false" outlineLevel="0" collapsed="false">
      <c r="A17" s="5" t="s">
        <v>38</v>
      </c>
      <c r="B17" s="5"/>
      <c r="C17" s="6" t="s">
        <v>39</v>
      </c>
      <c r="D17" s="6" t="s">
        <v>40</v>
      </c>
      <c r="E17" s="5"/>
    </row>
    <row r="18" customFormat="false" ht="46.25" hidden="false" customHeight="false" outlineLevel="0" collapsed="false">
      <c r="A18" s="5" t="s">
        <v>41</v>
      </c>
      <c r="B18" s="5"/>
      <c r="C18" s="6" t="s">
        <v>42</v>
      </c>
      <c r="D18" s="6" t="s">
        <v>43</v>
      </c>
      <c r="E18" s="5"/>
    </row>
    <row r="19" customFormat="false" ht="23.85" hidden="false" customHeight="false" outlineLevel="0" collapsed="false">
      <c r="A19" s="5" t="s">
        <v>44</v>
      </c>
      <c r="B19" s="5"/>
      <c r="C19" s="6" t="s">
        <v>45</v>
      </c>
      <c r="D19" s="6" t="s">
        <v>46</v>
      </c>
      <c r="E19" s="5"/>
    </row>
    <row r="20" customFormat="false" ht="23.85" hidden="false" customHeight="false" outlineLevel="0" collapsed="false">
      <c r="A20" s="5" t="s">
        <v>47</v>
      </c>
      <c r="B20" s="5"/>
      <c r="C20" s="6" t="s">
        <v>48</v>
      </c>
      <c r="D20" s="6" t="s">
        <v>49</v>
      </c>
      <c r="E20" s="5"/>
    </row>
    <row r="21" customFormat="false" ht="23.85" hidden="false" customHeight="false" outlineLevel="0" collapsed="false">
      <c r="A21" s="5" t="s">
        <v>50</v>
      </c>
      <c r="B21" s="5"/>
      <c r="C21" s="6" t="s">
        <v>51</v>
      </c>
      <c r="D21" s="6" t="s">
        <v>52</v>
      </c>
      <c r="E21" s="5"/>
    </row>
    <row r="22" customFormat="false" ht="23.85" hidden="false" customHeight="false" outlineLevel="0" collapsed="false">
      <c r="A22" s="5" t="s">
        <v>53</v>
      </c>
      <c r="B22" s="5"/>
      <c r="C22" s="6" t="s">
        <v>54</v>
      </c>
      <c r="D22" s="6" t="s">
        <v>55</v>
      </c>
      <c r="E22" s="5"/>
    </row>
    <row r="23" customFormat="false" ht="35.05" hidden="false" customHeight="false" outlineLevel="0" collapsed="false">
      <c r="A23" s="5" t="s">
        <v>56</v>
      </c>
      <c r="B23" s="5"/>
      <c r="C23" s="6" t="s">
        <v>57</v>
      </c>
      <c r="D23" s="6" t="s">
        <v>58</v>
      </c>
      <c r="E23" s="5"/>
    </row>
    <row r="24" customFormat="false" ht="23.85" hidden="false" customHeight="false" outlineLevel="0" collapsed="false">
      <c r="A24" s="5" t="s">
        <v>59</v>
      </c>
      <c r="B24" s="5"/>
      <c r="C24" s="6" t="s">
        <v>60</v>
      </c>
      <c r="D24" s="6" t="s">
        <v>61</v>
      </c>
      <c r="E24" s="5"/>
    </row>
    <row r="25" customFormat="false" ht="23.85" hidden="false" customHeight="false" outlineLevel="0" collapsed="false">
      <c r="A25" s="5" t="s">
        <v>62</v>
      </c>
      <c r="B25" s="5"/>
      <c r="C25" s="6" t="s">
        <v>63</v>
      </c>
      <c r="D25" s="6" t="s">
        <v>64</v>
      </c>
      <c r="E25" s="5"/>
    </row>
    <row r="26" customFormat="false" ht="46.25" hidden="false" customHeight="false" outlineLevel="0" collapsed="false">
      <c r="A26" s="5" t="s">
        <v>65</v>
      </c>
      <c r="B26" s="5"/>
      <c r="C26" s="6" t="s">
        <v>66</v>
      </c>
      <c r="D26" s="6" t="s">
        <v>67</v>
      </c>
      <c r="E26" s="5"/>
    </row>
    <row r="27" customFormat="false" ht="15" hidden="false" customHeight="false" outlineLevel="0" collapsed="false">
      <c r="A27" s="4"/>
      <c r="B27" s="4"/>
      <c r="C27" s="4" t="s">
        <v>68</v>
      </c>
      <c r="D27" s="4"/>
      <c r="E27" s="4"/>
    </row>
    <row r="28" customFormat="false" ht="15" hidden="false" customHeight="false" outlineLevel="0" collapsed="false">
      <c r="A28" s="7" t="s">
        <v>69</v>
      </c>
      <c r="B28" s="7"/>
      <c r="C28" s="8" t="s">
        <v>70</v>
      </c>
      <c r="D28" s="8"/>
      <c r="E28" s="8"/>
    </row>
    <row r="29" customFormat="false" ht="23.85" hidden="false" customHeight="false" outlineLevel="0" collapsed="false">
      <c r="A29" s="5"/>
      <c r="B29" s="5" t="s">
        <v>71</v>
      </c>
      <c r="C29" s="6" t="s">
        <v>72</v>
      </c>
      <c r="D29" s="6" t="s">
        <v>73</v>
      </c>
      <c r="E29" s="5"/>
    </row>
    <row r="30" customFormat="false" ht="35.05" hidden="false" customHeight="false" outlineLevel="0" collapsed="false">
      <c r="A30" s="5"/>
      <c r="B30" s="5" t="s">
        <v>74</v>
      </c>
      <c r="C30" s="6" t="s">
        <v>75</v>
      </c>
      <c r="D30" s="6" t="s">
        <v>76</v>
      </c>
      <c r="E30" s="5"/>
    </row>
    <row r="31" customFormat="false" ht="15" hidden="false" customHeight="false" outlineLevel="0" collapsed="false">
      <c r="A31" s="5"/>
      <c r="B31" s="5" t="s">
        <v>77</v>
      </c>
      <c r="C31" s="6" t="s">
        <v>78</v>
      </c>
      <c r="D31" s="6" t="s">
        <v>79</v>
      </c>
      <c r="E31" s="5"/>
    </row>
    <row r="32" customFormat="false" ht="15" hidden="false" customHeight="false" outlineLevel="0" collapsed="false">
      <c r="A32" s="5"/>
      <c r="B32" s="5" t="s">
        <v>80</v>
      </c>
      <c r="C32" s="6" t="s">
        <v>81</v>
      </c>
      <c r="D32" s="6" t="s">
        <v>82</v>
      </c>
      <c r="E32" s="5"/>
    </row>
    <row r="33" customFormat="false" ht="15" hidden="false" customHeight="false" outlineLevel="0" collapsed="false">
      <c r="A33" s="5"/>
      <c r="B33" s="5" t="s">
        <v>83</v>
      </c>
      <c r="C33" s="6" t="s">
        <v>84</v>
      </c>
      <c r="D33" s="6" t="s">
        <v>85</v>
      </c>
      <c r="E33" s="5"/>
    </row>
    <row r="34" customFormat="false" ht="15" hidden="false" customHeight="false" outlineLevel="0" collapsed="false">
      <c r="A34" s="5"/>
      <c r="B34" s="5" t="s">
        <v>86</v>
      </c>
      <c r="C34" s="6" t="s">
        <v>87</v>
      </c>
      <c r="D34" s="6" t="s">
        <v>88</v>
      </c>
      <c r="E34" s="5"/>
    </row>
    <row r="35" customFormat="false" ht="15" hidden="false" customHeight="false" outlineLevel="0" collapsed="false">
      <c r="A35" s="5"/>
      <c r="B35" s="5" t="s">
        <v>89</v>
      </c>
      <c r="C35" s="6" t="s">
        <v>90</v>
      </c>
      <c r="D35" s="6" t="s">
        <v>91</v>
      </c>
      <c r="E35" s="5"/>
    </row>
    <row r="36" customFormat="false" ht="15" hidden="false" customHeight="false" outlineLevel="0" collapsed="false">
      <c r="A36" s="5"/>
      <c r="B36" s="5" t="s">
        <v>92</v>
      </c>
      <c r="C36" s="6" t="s">
        <v>93</v>
      </c>
      <c r="D36" s="6" t="s">
        <v>94</v>
      </c>
      <c r="E36" s="5"/>
    </row>
    <row r="37" customFormat="false" ht="23.85" hidden="false" customHeight="false" outlineLevel="0" collapsed="false">
      <c r="A37" s="5"/>
      <c r="B37" s="5" t="s">
        <v>95</v>
      </c>
      <c r="C37" s="6" t="s">
        <v>96</v>
      </c>
      <c r="D37" s="6" t="s">
        <v>97</v>
      </c>
      <c r="E37" s="5"/>
    </row>
    <row r="38" customFormat="false" ht="23.85" hidden="false" customHeight="false" outlineLevel="0" collapsed="false">
      <c r="A38" s="5"/>
      <c r="B38" s="5" t="s">
        <v>98</v>
      </c>
      <c r="C38" s="6" t="s">
        <v>99</v>
      </c>
      <c r="D38" s="6" t="s">
        <v>100</v>
      </c>
      <c r="E38" s="5"/>
    </row>
    <row r="39" customFormat="false" ht="15" hidden="false" customHeight="false" outlineLevel="0" collapsed="false">
      <c r="A39" s="5"/>
      <c r="B39" s="5" t="s">
        <v>101</v>
      </c>
      <c r="C39" s="6" t="s">
        <v>102</v>
      </c>
      <c r="D39" s="6" t="s">
        <v>103</v>
      </c>
      <c r="E39" s="5"/>
    </row>
    <row r="40" customFormat="false" ht="23.85" hidden="false" customHeight="false" outlineLevel="0" collapsed="false">
      <c r="A40" s="5"/>
      <c r="B40" s="5" t="s">
        <v>104</v>
      </c>
      <c r="C40" s="6" t="s">
        <v>105</v>
      </c>
      <c r="D40" s="6" t="s">
        <v>106</v>
      </c>
      <c r="E40" s="5"/>
    </row>
    <row r="41" customFormat="false" ht="15" hidden="false" customHeight="false" outlineLevel="0" collapsed="false">
      <c r="A41" s="5"/>
      <c r="B41" s="5" t="s">
        <v>107</v>
      </c>
      <c r="C41" s="6" t="s">
        <v>108</v>
      </c>
      <c r="D41" s="6" t="s">
        <v>109</v>
      </c>
      <c r="E41" s="5"/>
    </row>
    <row r="42" customFormat="false" ht="15" hidden="false" customHeight="false" outlineLevel="0" collapsed="false">
      <c r="A42" s="5"/>
      <c r="B42" s="5" t="s">
        <v>110</v>
      </c>
      <c r="C42" s="6" t="s">
        <v>111</v>
      </c>
      <c r="D42" s="6" t="s">
        <v>112</v>
      </c>
      <c r="E42" s="5"/>
    </row>
    <row r="43" customFormat="false" ht="15" hidden="false" customHeight="false" outlineLevel="0" collapsed="false">
      <c r="A43" s="5"/>
      <c r="B43" s="5" t="s">
        <v>113</v>
      </c>
      <c r="C43" s="6" t="s">
        <v>114</v>
      </c>
      <c r="D43" s="6" t="s">
        <v>115</v>
      </c>
      <c r="E43" s="5"/>
    </row>
    <row r="44" customFormat="false" ht="15" hidden="false" customHeight="false" outlineLevel="0" collapsed="false">
      <c r="A44" s="5"/>
      <c r="B44" s="5" t="s">
        <v>116</v>
      </c>
      <c r="C44" s="6" t="s">
        <v>117</v>
      </c>
      <c r="D44" s="6" t="s">
        <v>118</v>
      </c>
      <c r="E44" s="5"/>
    </row>
    <row r="45" customFormat="false" ht="23.85" hidden="false" customHeight="false" outlineLevel="0" collapsed="false">
      <c r="A45" s="5"/>
      <c r="B45" s="5" t="s">
        <v>119</v>
      </c>
      <c r="C45" s="6" t="s">
        <v>120</v>
      </c>
      <c r="D45" s="6" t="s">
        <v>121</v>
      </c>
      <c r="E45" s="5"/>
    </row>
    <row r="46" customFormat="false" ht="23.85" hidden="false" customHeight="false" outlineLevel="0" collapsed="false">
      <c r="A46" s="5"/>
      <c r="B46" s="5" t="s">
        <v>122</v>
      </c>
      <c r="C46" s="6" t="s">
        <v>123</v>
      </c>
      <c r="D46" s="6" t="s">
        <v>124</v>
      </c>
      <c r="E46" s="5"/>
    </row>
    <row r="47" customFormat="false" ht="23.85" hidden="false" customHeight="false" outlineLevel="0" collapsed="false">
      <c r="A47" s="5"/>
      <c r="B47" s="5" t="s">
        <v>125</v>
      </c>
      <c r="C47" s="6" t="s">
        <v>126</v>
      </c>
      <c r="D47" s="6" t="s">
        <v>127</v>
      </c>
      <c r="E47" s="5"/>
    </row>
    <row r="48" customFormat="false" ht="15" hidden="false" customHeight="false" outlineLevel="0" collapsed="false">
      <c r="A48" s="5"/>
      <c r="B48" s="5" t="s">
        <v>128</v>
      </c>
      <c r="C48" s="6" t="s">
        <v>129</v>
      </c>
      <c r="D48" s="6" t="s">
        <v>130</v>
      </c>
      <c r="E48" s="5"/>
    </row>
    <row r="49" customFormat="false" ht="23.85" hidden="false" customHeight="false" outlineLevel="0" collapsed="false">
      <c r="A49" s="5"/>
      <c r="B49" s="5" t="s">
        <v>131</v>
      </c>
      <c r="C49" s="6" t="s">
        <v>132</v>
      </c>
      <c r="D49" s="6" t="s">
        <v>133</v>
      </c>
      <c r="E49" s="5"/>
    </row>
    <row r="50" customFormat="false" ht="23.85" hidden="false" customHeight="false" outlineLevel="0" collapsed="false">
      <c r="A50" s="5"/>
      <c r="B50" s="5" t="s">
        <v>134</v>
      </c>
      <c r="C50" s="6" t="s">
        <v>135</v>
      </c>
      <c r="D50" s="6" t="s">
        <v>136</v>
      </c>
      <c r="E50" s="5"/>
    </row>
    <row r="51" customFormat="false" ht="23.85" hidden="false" customHeight="false" outlineLevel="0" collapsed="false">
      <c r="A51" s="5"/>
      <c r="B51" s="5" t="s">
        <v>137</v>
      </c>
      <c r="C51" s="6" t="s">
        <v>138</v>
      </c>
      <c r="D51" s="6" t="s">
        <v>139</v>
      </c>
      <c r="E51" s="5"/>
    </row>
    <row r="52" customFormat="false" ht="23.85" hidden="false" customHeight="false" outlineLevel="0" collapsed="false">
      <c r="A52" s="5"/>
      <c r="B52" s="5" t="s">
        <v>140</v>
      </c>
      <c r="C52" s="6" t="s">
        <v>141</v>
      </c>
      <c r="D52" s="6" t="s">
        <v>142</v>
      </c>
      <c r="E52" s="5"/>
    </row>
    <row r="53" customFormat="false" ht="15" hidden="false" customHeight="false" outlineLevel="0" collapsed="false">
      <c r="A53" s="7" t="s">
        <v>143</v>
      </c>
      <c r="B53" s="7"/>
      <c r="C53" s="8" t="s">
        <v>144</v>
      </c>
      <c r="D53" s="8"/>
      <c r="E53" s="8"/>
    </row>
    <row r="54" customFormat="false" ht="23.85" hidden="false" customHeight="false" outlineLevel="0" collapsed="false">
      <c r="A54" s="5"/>
      <c r="B54" s="5" t="s">
        <v>145</v>
      </c>
      <c r="C54" s="6" t="s">
        <v>146</v>
      </c>
      <c r="D54" s="6" t="s">
        <v>147</v>
      </c>
      <c r="E54" s="5"/>
    </row>
    <row r="55" customFormat="false" ht="23.85" hidden="false" customHeight="false" outlineLevel="0" collapsed="false">
      <c r="A55" s="5"/>
      <c r="B55" s="5" t="s">
        <v>148</v>
      </c>
      <c r="C55" s="6" t="s">
        <v>149</v>
      </c>
      <c r="D55" s="6" t="s">
        <v>150</v>
      </c>
      <c r="E55" s="5"/>
    </row>
    <row r="56" customFormat="false" ht="23.85" hidden="false" customHeight="false" outlineLevel="0" collapsed="false">
      <c r="A56" s="5"/>
      <c r="B56" s="5" t="s">
        <v>151</v>
      </c>
      <c r="C56" s="6" t="s">
        <v>152</v>
      </c>
      <c r="D56" s="6" t="s">
        <v>153</v>
      </c>
      <c r="E56" s="5"/>
    </row>
    <row r="57" customFormat="false" ht="15" hidden="false" customHeight="false" outlineLevel="0" collapsed="false">
      <c r="A57" s="5"/>
      <c r="B57" s="5" t="s">
        <v>154</v>
      </c>
      <c r="C57" s="6" t="s">
        <v>155</v>
      </c>
      <c r="D57" s="6" t="s">
        <v>156</v>
      </c>
      <c r="E57" s="5"/>
    </row>
    <row r="58" customFormat="false" ht="15" hidden="false" customHeight="false" outlineLevel="0" collapsed="false">
      <c r="A58" s="5"/>
      <c r="B58" s="5" t="s">
        <v>157</v>
      </c>
      <c r="C58" s="6" t="s">
        <v>158</v>
      </c>
      <c r="D58" s="6" t="s">
        <v>159</v>
      </c>
      <c r="E58" s="5"/>
    </row>
    <row r="59" customFormat="false" ht="23.85" hidden="false" customHeight="false" outlineLevel="0" collapsed="false">
      <c r="A59" s="5"/>
      <c r="B59" s="5" t="s">
        <v>160</v>
      </c>
      <c r="C59" s="6" t="s">
        <v>161</v>
      </c>
      <c r="D59" s="6" t="s">
        <v>162</v>
      </c>
      <c r="E59" s="5"/>
    </row>
    <row r="60" customFormat="false" ht="15" hidden="false" customHeight="false" outlineLevel="0" collapsed="false">
      <c r="A60" s="5"/>
      <c r="B60" s="5" t="s">
        <v>163</v>
      </c>
      <c r="C60" s="6" t="s">
        <v>164</v>
      </c>
      <c r="D60" s="6" t="s">
        <v>165</v>
      </c>
      <c r="E60" s="5"/>
    </row>
    <row r="61" customFormat="false" ht="15" hidden="false" customHeight="false" outlineLevel="0" collapsed="false">
      <c r="A61" s="5"/>
      <c r="B61" s="5" t="s">
        <v>166</v>
      </c>
      <c r="C61" s="6" t="s">
        <v>167</v>
      </c>
      <c r="D61" s="6" t="s">
        <v>168</v>
      </c>
      <c r="E61" s="5"/>
    </row>
    <row r="62" customFormat="false" ht="15" hidden="false" customHeight="false" outlineLevel="0" collapsed="false">
      <c r="A62" s="5"/>
      <c r="B62" s="5" t="s">
        <v>169</v>
      </c>
      <c r="C62" s="6" t="s">
        <v>170</v>
      </c>
      <c r="D62" s="6" t="s">
        <v>168</v>
      </c>
      <c r="E62" s="5"/>
    </row>
    <row r="63" customFormat="false" ht="15" hidden="false" customHeight="false" outlineLevel="0" collapsed="false">
      <c r="A63" s="5"/>
      <c r="B63" s="5" t="s">
        <v>171</v>
      </c>
      <c r="C63" s="6" t="s">
        <v>172</v>
      </c>
      <c r="D63" s="6" t="s">
        <v>173</v>
      </c>
      <c r="E63" s="5"/>
    </row>
    <row r="64" customFormat="false" ht="23.85" hidden="false" customHeight="false" outlineLevel="0" collapsed="false">
      <c r="A64" s="5"/>
      <c r="B64" s="5" t="s">
        <v>174</v>
      </c>
      <c r="C64" s="6" t="s">
        <v>175</v>
      </c>
      <c r="D64" s="6" t="s">
        <v>176</v>
      </c>
      <c r="E64" s="5"/>
    </row>
    <row r="65" customFormat="false" ht="23.85" hidden="false" customHeight="false" outlineLevel="0" collapsed="false">
      <c r="A65" s="5"/>
      <c r="B65" s="5" t="s">
        <v>177</v>
      </c>
      <c r="C65" s="6" t="s">
        <v>178</v>
      </c>
      <c r="D65" s="6" t="s">
        <v>179</v>
      </c>
      <c r="E65" s="5"/>
    </row>
    <row r="66" customFormat="false" ht="15" hidden="false" customHeight="false" outlineLevel="0" collapsed="false">
      <c r="A66" s="5"/>
      <c r="B66" s="5" t="s">
        <v>180</v>
      </c>
      <c r="C66" s="6" t="s">
        <v>181</v>
      </c>
      <c r="D66" s="6" t="s">
        <v>182</v>
      </c>
      <c r="E66" s="5"/>
    </row>
    <row r="67" customFormat="false" ht="15" hidden="false" customHeight="false" outlineLevel="0" collapsed="false">
      <c r="A67" s="5"/>
      <c r="B67" s="5" t="s">
        <v>183</v>
      </c>
      <c r="C67" s="6" t="s">
        <v>184</v>
      </c>
      <c r="D67" s="6" t="s">
        <v>185</v>
      </c>
      <c r="E67" s="5"/>
    </row>
    <row r="68" customFormat="false" ht="23.85" hidden="false" customHeight="false" outlineLevel="0" collapsed="false">
      <c r="A68" s="5"/>
      <c r="B68" s="5" t="s">
        <v>186</v>
      </c>
      <c r="C68" s="6" t="s">
        <v>187</v>
      </c>
      <c r="D68" s="6" t="s">
        <v>188</v>
      </c>
      <c r="E68" s="5"/>
    </row>
    <row r="69" customFormat="false" ht="15" hidden="false" customHeight="false" outlineLevel="0" collapsed="false">
      <c r="A69" s="5"/>
      <c r="B69" s="5" t="s">
        <v>189</v>
      </c>
      <c r="C69" s="6" t="s">
        <v>190</v>
      </c>
      <c r="D69" s="6" t="s">
        <v>191</v>
      </c>
      <c r="E69" s="5"/>
    </row>
    <row r="70" customFormat="false" ht="23.85" hidden="false" customHeight="false" outlineLevel="0" collapsed="false">
      <c r="A70" s="5"/>
      <c r="B70" s="5" t="s">
        <v>192</v>
      </c>
      <c r="C70" s="6" t="s">
        <v>193</v>
      </c>
      <c r="D70" s="6" t="s">
        <v>194</v>
      </c>
      <c r="E70" s="5"/>
    </row>
    <row r="71" customFormat="false" ht="15" hidden="false" customHeight="false" outlineLevel="0" collapsed="false">
      <c r="A71" s="7" t="s">
        <v>195</v>
      </c>
      <c r="B71" s="7"/>
      <c r="C71" s="8" t="s">
        <v>196</v>
      </c>
      <c r="D71" s="8"/>
      <c r="E71" s="8"/>
    </row>
    <row r="72" customFormat="false" ht="23.85" hidden="false" customHeight="false" outlineLevel="0" collapsed="false">
      <c r="A72" s="5"/>
      <c r="B72" s="5" t="s">
        <v>197</v>
      </c>
      <c r="C72" s="6" t="s">
        <v>198</v>
      </c>
      <c r="D72" s="6" t="s">
        <v>199</v>
      </c>
      <c r="E72" s="5"/>
    </row>
    <row r="73" customFormat="false" ht="23.85" hidden="false" customHeight="false" outlineLevel="0" collapsed="false">
      <c r="A73" s="5"/>
      <c r="B73" s="5" t="s">
        <v>200</v>
      </c>
      <c r="C73" s="6" t="s">
        <v>201</v>
      </c>
      <c r="D73" s="6" t="s">
        <v>202</v>
      </c>
      <c r="E73" s="5"/>
    </row>
    <row r="74" customFormat="false" ht="23.85" hidden="false" customHeight="false" outlineLevel="0" collapsed="false">
      <c r="A74" s="5"/>
      <c r="B74" s="5" t="s">
        <v>203</v>
      </c>
      <c r="C74" s="6" t="s">
        <v>204</v>
      </c>
      <c r="D74" s="6" t="s">
        <v>205</v>
      </c>
      <c r="E74" s="5"/>
    </row>
    <row r="75" customFormat="false" ht="23.85" hidden="false" customHeight="false" outlineLevel="0" collapsed="false">
      <c r="A75" s="5"/>
      <c r="B75" s="5" t="s">
        <v>206</v>
      </c>
      <c r="C75" s="6" t="s">
        <v>207</v>
      </c>
      <c r="D75" s="6" t="s">
        <v>208</v>
      </c>
      <c r="E75" s="5"/>
    </row>
    <row r="76" customFormat="false" ht="15" hidden="false" customHeight="false" outlineLevel="0" collapsed="false">
      <c r="A76" s="5"/>
      <c r="B76" s="5" t="s">
        <v>209</v>
      </c>
      <c r="C76" s="6" t="s">
        <v>167</v>
      </c>
      <c r="D76" s="6" t="s">
        <v>208</v>
      </c>
      <c r="E76" s="5"/>
    </row>
    <row r="77" customFormat="false" ht="23.85" hidden="false" customHeight="false" outlineLevel="0" collapsed="false">
      <c r="A77" s="5"/>
      <c r="B77" s="5" t="s">
        <v>210</v>
      </c>
      <c r="C77" s="6" t="s">
        <v>211</v>
      </c>
      <c r="D77" s="6" t="s">
        <v>208</v>
      </c>
      <c r="E77" s="5"/>
    </row>
    <row r="78" customFormat="false" ht="23.85" hidden="false" customHeight="false" outlineLevel="0" collapsed="false">
      <c r="A78" s="5"/>
      <c r="B78" s="5" t="s">
        <v>212</v>
      </c>
      <c r="C78" s="6" t="s">
        <v>213</v>
      </c>
      <c r="D78" s="6" t="s">
        <v>214</v>
      </c>
      <c r="E78" s="5"/>
    </row>
    <row r="79" customFormat="false" ht="15" hidden="false" customHeight="false" outlineLevel="0" collapsed="false">
      <c r="A79" s="5"/>
      <c r="B79" s="5" t="s">
        <v>215</v>
      </c>
      <c r="C79" s="6" t="s">
        <v>172</v>
      </c>
      <c r="D79" s="6" t="s">
        <v>173</v>
      </c>
      <c r="E79" s="5"/>
    </row>
    <row r="80" customFormat="false" ht="23.85" hidden="false" customHeight="false" outlineLevel="0" collapsed="false">
      <c r="A80" s="5"/>
      <c r="B80" s="5" t="s">
        <v>216</v>
      </c>
      <c r="C80" s="6" t="s">
        <v>217</v>
      </c>
      <c r="D80" s="6" t="s">
        <v>218</v>
      </c>
      <c r="E80" s="5"/>
    </row>
    <row r="81" customFormat="false" ht="23.85" hidden="false" customHeight="false" outlineLevel="0" collapsed="false">
      <c r="A81" s="5"/>
      <c r="B81" s="5" t="s">
        <v>219</v>
      </c>
      <c r="C81" s="6" t="s">
        <v>220</v>
      </c>
      <c r="D81" s="6" t="s">
        <v>221</v>
      </c>
      <c r="E81" s="5"/>
    </row>
    <row r="82" customFormat="false" ht="15" hidden="false" customHeight="false" outlineLevel="0" collapsed="false">
      <c r="A82" s="5"/>
      <c r="B82" s="5" t="s">
        <v>222</v>
      </c>
      <c r="C82" s="6" t="s">
        <v>223</v>
      </c>
      <c r="D82" s="6" t="s">
        <v>224</v>
      </c>
      <c r="E82" s="5"/>
    </row>
    <row r="83" customFormat="false" ht="15" hidden="false" customHeight="false" outlineLevel="0" collapsed="false">
      <c r="A83" s="7" t="s">
        <v>225</v>
      </c>
      <c r="B83" s="7"/>
      <c r="C83" s="8" t="s">
        <v>226</v>
      </c>
      <c r="D83" s="8"/>
      <c r="E83" s="8"/>
    </row>
    <row r="84" customFormat="false" ht="23.85" hidden="false" customHeight="false" outlineLevel="0" collapsed="false">
      <c r="A84" s="5"/>
      <c r="B84" s="5" t="s">
        <v>227</v>
      </c>
      <c r="C84" s="6" t="s">
        <v>228</v>
      </c>
      <c r="D84" s="6" t="s">
        <v>229</v>
      </c>
      <c r="E84" s="5"/>
    </row>
    <row r="85" customFormat="false" ht="23.85" hidden="false" customHeight="false" outlineLevel="0" collapsed="false">
      <c r="A85" s="5"/>
      <c r="B85" s="5" t="s">
        <v>230</v>
      </c>
      <c r="C85" s="6" t="s">
        <v>231</v>
      </c>
      <c r="D85" s="6" t="s">
        <v>232</v>
      </c>
      <c r="E85" s="5"/>
    </row>
    <row r="86" customFormat="false" ht="15" hidden="false" customHeight="false" outlineLevel="0" collapsed="false">
      <c r="A86" s="5"/>
      <c r="B86" s="5" t="s">
        <v>233</v>
      </c>
      <c r="C86" s="6" t="s">
        <v>234</v>
      </c>
      <c r="D86" s="6" t="s">
        <v>235</v>
      </c>
      <c r="E86" s="5"/>
    </row>
    <row r="87" customFormat="false" ht="23.85" hidden="false" customHeight="false" outlineLevel="0" collapsed="false">
      <c r="A87" s="4"/>
      <c r="B87" s="4"/>
      <c r="C87" s="4" t="s">
        <v>236</v>
      </c>
      <c r="D87" s="4"/>
      <c r="E87" s="4"/>
    </row>
    <row r="88" customFormat="false" ht="15" hidden="false" customHeight="false" outlineLevel="0" collapsed="false">
      <c r="A88" s="5" t="s">
        <v>237</v>
      </c>
      <c r="B88" s="5"/>
      <c r="C88" s="6" t="s">
        <v>238</v>
      </c>
      <c r="D88" s="6" t="s">
        <v>239</v>
      </c>
      <c r="E88" s="5"/>
    </row>
    <row r="89" customFormat="false" ht="23.85" hidden="false" customHeight="false" outlineLevel="0" collapsed="false">
      <c r="A89" s="5" t="s">
        <v>240</v>
      </c>
      <c r="B89" s="5"/>
      <c r="C89" s="6" t="s">
        <v>241</v>
      </c>
      <c r="D89" s="6" t="s">
        <v>242</v>
      </c>
      <c r="E89" s="5"/>
    </row>
    <row r="90" customFormat="false" ht="23.85" hidden="false" customHeight="false" outlineLevel="0" collapsed="false">
      <c r="A90" s="5" t="s">
        <v>243</v>
      </c>
      <c r="B90" s="5"/>
      <c r="C90" s="6" t="s">
        <v>244</v>
      </c>
      <c r="D90" s="6" t="s">
        <v>245</v>
      </c>
      <c r="E90" s="5"/>
    </row>
    <row r="91" customFormat="false" ht="23.85" hidden="false" customHeight="false" outlineLevel="0" collapsed="false">
      <c r="A91" s="5" t="s">
        <v>246</v>
      </c>
      <c r="B91" s="5"/>
      <c r="C91" s="6" t="s">
        <v>247</v>
      </c>
      <c r="D91" s="6" t="s">
        <v>248</v>
      </c>
      <c r="E91" s="5"/>
    </row>
    <row r="92" customFormat="false" ht="23.85" hidden="false" customHeight="false" outlineLevel="0" collapsed="false">
      <c r="A92" s="5" t="s">
        <v>249</v>
      </c>
      <c r="B92" s="5"/>
      <c r="C92" s="6" t="s">
        <v>250</v>
      </c>
      <c r="D92" s="6" t="s">
        <v>251</v>
      </c>
      <c r="E92" s="5"/>
    </row>
    <row r="93" customFormat="false" ht="23.85" hidden="false" customHeight="false" outlineLevel="0" collapsed="false">
      <c r="A93" s="5" t="s">
        <v>252</v>
      </c>
      <c r="B93" s="5"/>
      <c r="C93" s="6" t="s">
        <v>253</v>
      </c>
      <c r="D93" s="6" t="s">
        <v>254</v>
      </c>
      <c r="E93" s="5"/>
    </row>
    <row r="94" customFormat="false" ht="15" hidden="false" customHeight="false" outlineLevel="0" collapsed="false">
      <c r="A94" s="4"/>
      <c r="B94" s="4"/>
      <c r="C94" s="4" t="s">
        <v>255</v>
      </c>
      <c r="D94" s="4"/>
      <c r="E94" s="4"/>
    </row>
    <row r="95" customFormat="false" ht="23.85" hidden="false" customHeight="false" outlineLevel="0" collapsed="false">
      <c r="A95" s="5" t="s">
        <v>256</v>
      </c>
      <c r="B95" s="5"/>
      <c r="C95" s="6" t="s">
        <v>257</v>
      </c>
      <c r="D95" s="6" t="s">
        <v>258</v>
      </c>
      <c r="E95" s="5"/>
    </row>
    <row r="96" customFormat="false" ht="23.85" hidden="false" customHeight="false" outlineLevel="0" collapsed="false">
      <c r="A96" s="5" t="s">
        <v>259</v>
      </c>
      <c r="B96" s="5"/>
      <c r="C96" s="6" t="s">
        <v>260</v>
      </c>
      <c r="D96" s="6" t="s">
        <v>261</v>
      </c>
      <c r="E96" s="5"/>
    </row>
    <row r="97" customFormat="false" ht="15" hidden="false" customHeight="false" outlineLevel="0" collapsed="false">
      <c r="A97" s="5" t="s">
        <v>262</v>
      </c>
      <c r="B97" s="5"/>
      <c r="C97" s="6" t="s">
        <v>263</v>
      </c>
      <c r="D97" s="6" t="s">
        <v>264</v>
      </c>
      <c r="E97" s="5"/>
    </row>
    <row r="98" customFormat="false" ht="23.85" hidden="false" customHeight="false" outlineLevel="0" collapsed="false">
      <c r="A98" s="5" t="s">
        <v>265</v>
      </c>
      <c r="B98" s="5"/>
      <c r="C98" s="6" t="s">
        <v>266</v>
      </c>
      <c r="D98" s="6" t="s">
        <v>267</v>
      </c>
      <c r="E98" s="5"/>
    </row>
    <row r="99" customFormat="false" ht="23.85" hidden="false" customHeight="false" outlineLevel="0" collapsed="false">
      <c r="A99" s="5" t="s">
        <v>268</v>
      </c>
      <c r="B99" s="5"/>
      <c r="C99" s="6" t="s">
        <v>269</v>
      </c>
      <c r="D99" s="6" t="s">
        <v>270</v>
      </c>
      <c r="E99" s="5"/>
    </row>
    <row r="100" customFormat="false" ht="23.85" hidden="false" customHeight="false" outlineLevel="0" collapsed="false">
      <c r="A100" s="5" t="s">
        <v>271</v>
      </c>
      <c r="B100" s="5"/>
      <c r="C100" s="6" t="s">
        <v>272</v>
      </c>
      <c r="D100" s="6" t="s">
        <v>273</v>
      </c>
      <c r="E100" s="5"/>
    </row>
    <row r="101" customFormat="false" ht="23.85" hidden="false" customHeight="false" outlineLevel="0" collapsed="false">
      <c r="A101" s="5" t="s">
        <v>274</v>
      </c>
      <c r="B101" s="5"/>
      <c r="C101" s="6" t="s">
        <v>275</v>
      </c>
      <c r="D101" s="6" t="s">
        <v>276</v>
      </c>
      <c r="E101" s="5"/>
    </row>
    <row r="102" customFormat="false" ht="23.85" hidden="false" customHeight="false" outlineLevel="0" collapsed="false">
      <c r="A102" s="5" t="s">
        <v>277</v>
      </c>
      <c r="B102" s="5"/>
      <c r="C102" s="6" t="s">
        <v>278</v>
      </c>
      <c r="D102" s="6" t="s">
        <v>279</v>
      </c>
      <c r="E102" s="5"/>
    </row>
    <row r="103" customFormat="false" ht="23.85" hidden="false" customHeight="false" outlineLevel="0" collapsed="false">
      <c r="A103" s="5" t="s">
        <v>280</v>
      </c>
      <c r="B103" s="5"/>
      <c r="C103" s="6" t="s">
        <v>281</v>
      </c>
      <c r="D103" s="6" t="s">
        <v>282</v>
      </c>
      <c r="E103" s="5"/>
    </row>
    <row r="104" customFormat="false" ht="23.85" hidden="false" customHeight="false" outlineLevel="0" collapsed="false">
      <c r="A104" s="5" t="s">
        <v>283</v>
      </c>
      <c r="B104" s="5"/>
      <c r="C104" s="6" t="s">
        <v>284</v>
      </c>
      <c r="D104" s="6" t="s">
        <v>285</v>
      </c>
      <c r="E104" s="5"/>
    </row>
    <row r="105" customFormat="false" ht="23.85" hidden="false" customHeight="false" outlineLevel="0" collapsed="false">
      <c r="A105" s="4"/>
      <c r="B105" s="4"/>
      <c r="C105" s="4" t="s">
        <v>286</v>
      </c>
      <c r="D105" s="4"/>
      <c r="E105" s="4"/>
    </row>
    <row r="106" customFormat="false" ht="35.05" hidden="false" customHeight="false" outlineLevel="0" collapsed="false">
      <c r="A106" s="5" t="s">
        <v>287</v>
      </c>
      <c r="B106" s="5"/>
      <c r="C106" s="6" t="s">
        <v>288</v>
      </c>
      <c r="D106" s="6" t="s">
        <v>289</v>
      </c>
      <c r="E106" s="5"/>
    </row>
    <row r="107" customFormat="false" ht="23.85" hidden="false" customHeight="false" outlineLevel="0" collapsed="false">
      <c r="A107" s="5" t="s">
        <v>290</v>
      </c>
      <c r="B107" s="5"/>
      <c r="C107" s="6" t="s">
        <v>291</v>
      </c>
      <c r="D107" s="6" t="s">
        <v>292</v>
      </c>
      <c r="E107" s="5"/>
    </row>
    <row r="108" customFormat="false" ht="23.85" hidden="false" customHeight="false" outlineLevel="0" collapsed="false">
      <c r="A108" s="5" t="s">
        <v>293</v>
      </c>
      <c r="B108" s="5"/>
      <c r="C108" s="6" t="s">
        <v>294</v>
      </c>
      <c r="D108" s="6" t="s">
        <v>295</v>
      </c>
      <c r="E108" s="5"/>
    </row>
    <row r="109" customFormat="false" ht="15" hidden="false" customHeight="false" outlineLevel="0" collapsed="false">
      <c r="A109" s="5" t="s">
        <v>296</v>
      </c>
      <c r="B109" s="5"/>
      <c r="C109" s="6" t="s">
        <v>297</v>
      </c>
      <c r="D109" s="6" t="s">
        <v>298</v>
      </c>
      <c r="E109" s="5"/>
    </row>
    <row r="110" customFormat="false" ht="23.85" hidden="false" customHeight="false" outlineLevel="0" collapsed="false">
      <c r="A110" s="5" t="s">
        <v>299</v>
      </c>
      <c r="B110" s="5"/>
      <c r="C110" s="6" t="s">
        <v>300</v>
      </c>
      <c r="D110" s="6" t="s">
        <v>301</v>
      </c>
      <c r="E110" s="5"/>
    </row>
    <row r="111" customFormat="false" ht="15" hidden="false" customHeight="false" outlineLevel="0" collapsed="false">
      <c r="A111" s="4"/>
      <c r="B111" s="4"/>
      <c r="C111" s="4" t="s">
        <v>302</v>
      </c>
      <c r="D111" s="4"/>
      <c r="E111" s="4"/>
    </row>
    <row r="112" customFormat="false" ht="23.85" hidden="false" customHeight="false" outlineLevel="0" collapsed="false">
      <c r="A112" s="5" t="s">
        <v>303</v>
      </c>
      <c r="B112" s="5"/>
      <c r="C112" s="6" t="s">
        <v>304</v>
      </c>
      <c r="D112" s="6" t="s">
        <v>305</v>
      </c>
      <c r="E112" s="5"/>
    </row>
    <row r="113" customFormat="false" ht="23.85" hidden="false" customHeight="false" outlineLevel="0" collapsed="false">
      <c r="A113" s="5" t="s">
        <v>306</v>
      </c>
      <c r="B113" s="5"/>
      <c r="C113" s="6" t="s">
        <v>307</v>
      </c>
      <c r="D113" s="6" t="s">
        <v>308</v>
      </c>
      <c r="E113" s="5"/>
    </row>
    <row r="114" customFormat="false" ht="23.85" hidden="false" customHeight="false" outlineLevel="0" collapsed="false">
      <c r="A114" s="5" t="s">
        <v>309</v>
      </c>
      <c r="B114" s="5"/>
      <c r="C114" s="6" t="s">
        <v>310</v>
      </c>
      <c r="D114" s="6" t="s">
        <v>311</v>
      </c>
      <c r="E114" s="5"/>
    </row>
    <row r="115" customFormat="false" ht="15" hidden="false" customHeight="false" outlineLevel="0" collapsed="false">
      <c r="A115" s="5" t="s">
        <v>312</v>
      </c>
      <c r="B115" s="5"/>
      <c r="C115" s="6" t="s">
        <v>313</v>
      </c>
      <c r="D115" s="6" t="s">
        <v>314</v>
      </c>
      <c r="E115" s="5"/>
    </row>
    <row r="117" customFormat="false" ht="15" hidden="false" customHeight="false" outlineLevel="0" collapsed="false">
      <c r="A117" s="9" t="s">
        <v>315</v>
      </c>
      <c r="B117" s="9"/>
      <c r="C117" s="10" t="n">
        <f aca="false">COUNTA(D5:D115)</f>
        <v>100</v>
      </c>
    </row>
    <row r="118" customFormat="false" ht="15" hidden="false" customHeight="false" outlineLevel="0" collapsed="false">
      <c r="A118" s="9" t="s">
        <v>316</v>
      </c>
      <c r="B118" s="9"/>
      <c r="C118" s="10" t="n">
        <f aca="false">COUNTIF(E5:E115,"OK")</f>
        <v>0</v>
      </c>
    </row>
    <row r="119" customFormat="false" ht="15" hidden="false" customHeight="false" outlineLevel="0" collapsed="false">
      <c r="A119" s="9" t="s">
        <v>317</v>
      </c>
      <c r="B119" s="9"/>
      <c r="C119" s="10" t="n">
        <f aca="false">COUNTIF(E5:E115,"NG")</f>
        <v>0</v>
      </c>
    </row>
    <row r="120" customFormat="false" ht="15" hidden="false" customHeight="false" outlineLevel="0" collapsed="false">
      <c r="A120" s="9" t="s">
        <v>318</v>
      </c>
      <c r="B120" s="9"/>
      <c r="C120" s="10" t="n">
        <f aca="false">C117-C118-C119</f>
        <v>100</v>
      </c>
    </row>
  </sheetData>
  <mergeCells count="7">
    <mergeCell ref="A1:E1"/>
    <mergeCell ref="A2:E2"/>
    <mergeCell ref="A4:B4"/>
    <mergeCell ref="A117:B117"/>
    <mergeCell ref="A118:B118"/>
    <mergeCell ref="A119:B119"/>
    <mergeCell ref="A120:B120"/>
  </mergeCells>
  <conditionalFormatting sqref="E5:E115">
    <cfRule type="cellIs" priority="2" operator="equal" aboveAverage="0" equalAverage="0" bottom="0" percent="0" rank="0" text="" dxfId="0">
      <formula>"OK"</formula>
    </cfRule>
    <cfRule type="cellIs" priority="3" operator="equal" aboveAverage="0" equalAverage="0" bottom="0" percent="0" rank="0" text="" dxfId="1">
      <formula>"NG"</formula>
    </cfRule>
  </conditionalFormatting>
  <dataValidations count="1">
    <dataValidation allowBlank="true" errorStyle="stop" operator="between" showDropDown="false" showErrorMessage="false" showInputMessage="false" sqref="E5:E115" type="list">
      <formula1>"OK,NG"</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4"/>
    <col collapsed="false" customWidth="true" hidden="false" outlineLevel="0" max="3" min="3" style="0" width="110"/>
  </cols>
  <sheetData>
    <row r="1" customFormat="false" ht="15" hidden="false" customHeight="false" outlineLevel="0" collapsed="false">
      <c r="A1" s="11" t="s">
        <v>319</v>
      </c>
      <c r="B1" s="11"/>
      <c r="C1" s="11"/>
    </row>
    <row r="3" customFormat="false" ht="15" hidden="false" customHeight="false" outlineLevel="0" collapsed="false">
      <c r="A3" s="3" t="s">
        <v>320</v>
      </c>
      <c r="B3" s="3" t="s">
        <v>3</v>
      </c>
      <c r="C3" s="3" t="s">
        <v>321</v>
      </c>
    </row>
    <row r="4" customFormat="false" ht="23.85" hidden="false" customHeight="false" outlineLevel="0" collapsed="false">
      <c r="A4" s="5" t="n">
        <v>1</v>
      </c>
      <c r="B4" s="5" t="s">
        <v>212</v>
      </c>
      <c r="C4" s="6" t="s">
        <v>322</v>
      </c>
    </row>
    <row r="5" customFormat="false" ht="23.85" hidden="false" customHeight="false" outlineLevel="0" collapsed="false">
      <c r="A5" s="5" t="n">
        <v>2</v>
      </c>
      <c r="B5" s="5" t="s">
        <v>180</v>
      </c>
      <c r="C5" s="6" t="s">
        <v>323</v>
      </c>
    </row>
    <row r="6" customFormat="false" ht="23.85" hidden="false" customHeight="false" outlineLevel="0" collapsed="false">
      <c r="A6" s="5" t="n">
        <v>3</v>
      </c>
      <c r="B6" s="5" t="s">
        <v>163</v>
      </c>
      <c r="C6" s="6" t="s">
        <v>324</v>
      </c>
    </row>
    <row r="7" customFormat="false" ht="23.85" hidden="false" customHeight="false" outlineLevel="0" collapsed="false">
      <c r="A7" s="5" t="n">
        <v>4</v>
      </c>
      <c r="B7" s="5" t="s">
        <v>86</v>
      </c>
      <c r="C7" s="6" t="s">
        <v>325</v>
      </c>
    </row>
    <row r="8" customFormat="false" ht="15" hidden="false" customHeight="false" outlineLevel="0" collapsed="false">
      <c r="A8" s="5" t="n">
        <v>5</v>
      </c>
      <c r="B8" s="5" t="s">
        <v>209</v>
      </c>
      <c r="C8" s="6" t="s">
        <v>326</v>
      </c>
    </row>
    <row r="9" customFormat="false" ht="15" hidden="false" customHeight="false" outlineLevel="0" collapsed="false">
      <c r="A9" s="5" t="n">
        <v>6</v>
      </c>
      <c r="B9" s="5" t="s">
        <v>65</v>
      </c>
      <c r="C9" s="6" t="s">
        <v>327</v>
      </c>
    </row>
    <row r="10" customFormat="false" ht="23.85" hidden="false" customHeight="false" outlineLevel="0" collapsed="false">
      <c r="A10" s="5" t="n">
        <v>7</v>
      </c>
      <c r="B10" s="5" t="s">
        <v>41</v>
      </c>
      <c r="C10" s="6" t="s">
        <v>328</v>
      </c>
    </row>
    <row r="11" customFormat="false" ht="23.85" hidden="false" customHeight="false" outlineLevel="0" collapsed="false">
      <c r="A11" s="5" t="n">
        <v>8</v>
      </c>
      <c r="B11" s="5" t="s">
        <v>227</v>
      </c>
      <c r="C11" s="6" t="s">
        <v>329</v>
      </c>
    </row>
    <row r="12" customFormat="false" ht="15" hidden="false" customHeight="false" outlineLevel="0" collapsed="false">
      <c r="A12" s="5" t="n">
        <v>9</v>
      </c>
      <c r="B12" s="5" t="s">
        <v>330</v>
      </c>
      <c r="C12" s="6" t="s">
        <v>331</v>
      </c>
    </row>
    <row r="13" customFormat="false" ht="15" hidden="false" customHeight="false" outlineLevel="0" collapsed="false">
      <c r="A13" s="5" t="n">
        <v>10</v>
      </c>
      <c r="B13" s="5" t="s">
        <v>332</v>
      </c>
      <c r="C13" s="6" t="s">
        <v>333</v>
      </c>
    </row>
  </sheetData>
  <mergeCells count="1">
    <mergeCell ref="A1:C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2026-10-15T02:20:32Z</dcterms:created>
  <dc:creator>openpyxl</dc:creator>
  <dc:description/>
  <dc:language>en-US</dc:language>
  <cp:lastModifiedBy/>
  <dcterms:modified xsi:type="dcterms:W3CDTF">2026-10-15T02:20:32Z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